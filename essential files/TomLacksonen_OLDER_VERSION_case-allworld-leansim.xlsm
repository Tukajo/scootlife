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80" windowWidth="11595" windowHeight="4965" tabRatio="637" firstSheet="2" activeTab="12"/>
  </bookViews>
  <sheets>
    <sheet name="Drawings" sheetId="16" r:id="rId1"/>
    <sheet name="BOM" sheetId="1" r:id="rId2"/>
    <sheet name="Routings" sheetId="8" r:id="rId3"/>
    <sheet name="Processes" sheetId="9" r:id="rId4"/>
    <sheet name="Raw materials" sheetId="3" r:id="rId5"/>
    <sheet name="Lean ideas" sheetId="6" r:id="rId6"/>
    <sheet name="Inventory" sheetId="10" r:id="rId7"/>
    <sheet name="Costs" sheetId="5" r:id="rId8"/>
    <sheet name="Cumulative profit" sheetId="11" r:id="rId9"/>
    <sheet name="Problem list" sheetId="14" r:id="rId10"/>
    <sheet name="Capacity" sheetId="12" r:id="rId11"/>
    <sheet name="Problems table" sheetId="13" r:id="rId12"/>
    <sheet name="Problems" sheetId="7" r:id="rId13"/>
  </sheets>
  <calcPr calcId="145621"/>
</workbook>
</file>

<file path=xl/calcChain.xml><?xml version="1.0" encoding="utf-8"?>
<calcChain xmlns="http://schemas.openxmlformats.org/spreadsheetml/2006/main">
  <c r="E18" i="13" l="1"/>
  <c r="E21" i="13" s="1"/>
  <c r="I18" i="13"/>
  <c r="I21" i="13" s="1"/>
  <c r="C13" i="13"/>
  <c r="E18" i="5" l="1"/>
  <c r="B20" i="11" l="1"/>
  <c r="J15" i="13"/>
  <c r="F15" i="13"/>
  <c r="H15" i="13"/>
  <c r="I15" i="13"/>
  <c r="H12" i="13"/>
  <c r="G12" i="13"/>
  <c r="N24" i="13"/>
  <c r="M24" i="13"/>
  <c r="K24" i="13"/>
  <c r="M16" i="13"/>
  <c r="M18" i="13" s="1"/>
  <c r="M21" i="13" s="1"/>
  <c r="L16" i="13"/>
  <c r="L18" i="13" s="1"/>
  <c r="L21" i="13" s="1"/>
  <c r="K14" i="3"/>
  <c r="K13" i="3"/>
  <c r="K12" i="3"/>
  <c r="K11" i="3"/>
  <c r="K10" i="3"/>
  <c r="K9" i="3"/>
  <c r="K8" i="3"/>
  <c r="K7" i="3"/>
  <c r="K6" i="3"/>
  <c r="K5" i="3"/>
  <c r="E5" i="3"/>
  <c r="C3" i="12"/>
  <c r="C26" i="13"/>
  <c r="C22" i="13"/>
  <c r="D27" i="12"/>
  <c r="C28" i="13"/>
  <c r="J14" i="3"/>
  <c r="J13" i="3"/>
  <c r="J12" i="3"/>
  <c r="J11" i="3"/>
  <c r="J10" i="3"/>
  <c r="J9" i="3"/>
  <c r="J8" i="3"/>
  <c r="J7" i="3"/>
  <c r="J6" i="3"/>
  <c r="J5" i="3"/>
  <c r="F14" i="3"/>
  <c r="E14" i="3"/>
  <c r="J16" i="10" s="1"/>
  <c r="F13" i="3"/>
  <c r="E13" i="3"/>
  <c r="J15" i="10" s="1"/>
  <c r="F12" i="3"/>
  <c r="E12" i="3"/>
  <c r="J14" i="10" s="1"/>
  <c r="F11" i="3"/>
  <c r="E11" i="3"/>
  <c r="J13" i="10" s="1"/>
  <c r="F10" i="3"/>
  <c r="E10" i="3"/>
  <c r="J12" i="10" s="1"/>
  <c r="F9" i="3"/>
  <c r="E9" i="3"/>
  <c r="J11" i="10" s="1"/>
  <c r="F8" i="3"/>
  <c r="E8" i="3"/>
  <c r="J10" i="10" s="1"/>
  <c r="F7" i="3"/>
  <c r="F6" i="3"/>
  <c r="F5" i="3"/>
  <c r="E7" i="3"/>
  <c r="J9" i="10" s="1"/>
  <c r="E6" i="3"/>
  <c r="J8" i="10" s="1"/>
  <c r="J7" i="10"/>
  <c r="G14" i="9"/>
  <c r="G13" i="9"/>
  <c r="F14" i="12" s="1"/>
  <c r="G12" i="9"/>
  <c r="F13" i="12" s="1"/>
  <c r="G11" i="9"/>
  <c r="F12" i="12" s="1"/>
  <c r="G10" i="9"/>
  <c r="G9" i="9"/>
  <c r="F10" i="12" s="1"/>
  <c r="G8" i="9"/>
  <c r="G7" i="9"/>
  <c r="G6" i="9"/>
  <c r="K12" i="9"/>
  <c r="J13" i="12" s="1"/>
  <c r="K10" i="9"/>
  <c r="K9" i="9"/>
  <c r="J10" i="12" s="1"/>
  <c r="K7" i="9"/>
  <c r="K6" i="9"/>
  <c r="J7" i="12" s="1"/>
  <c r="J13" i="9"/>
  <c r="J12" i="9"/>
  <c r="I13" i="12" s="1"/>
  <c r="L27" i="12" s="1"/>
  <c r="J10" i="9"/>
  <c r="J11" i="9"/>
  <c r="I12" i="12" s="1"/>
  <c r="L25" i="12" s="1"/>
  <c r="J9" i="9"/>
  <c r="J7" i="9"/>
  <c r="I8" i="12" s="1"/>
  <c r="L21" i="12" s="1"/>
  <c r="J8" i="9"/>
  <c r="J6" i="9"/>
  <c r="I7" i="12" s="1"/>
  <c r="I14" i="9"/>
  <c r="I13" i="9"/>
  <c r="H14" i="12" s="1"/>
  <c r="I9" i="9"/>
  <c r="H10" i="12" s="1"/>
  <c r="I8" i="9"/>
  <c r="I7" i="9"/>
  <c r="H13" i="9"/>
  <c r="G14" i="12" s="1"/>
  <c r="H11" i="9"/>
  <c r="H9" i="9"/>
  <c r="G10" i="12" s="1"/>
  <c r="H8" i="9"/>
  <c r="H7" i="9"/>
  <c r="G8" i="12" s="1"/>
  <c r="H6" i="9"/>
  <c r="G7" i="12" s="1"/>
  <c r="C13" i="9"/>
  <c r="C11" i="9"/>
  <c r="C9" i="9"/>
  <c r="C10" i="12" s="1"/>
  <c r="C8" i="9"/>
  <c r="C7" i="9"/>
  <c r="C8" i="12" s="1"/>
  <c r="C6" i="9"/>
  <c r="C7" i="12" s="1"/>
  <c r="B14" i="9"/>
  <c r="B15" i="12" s="1"/>
  <c r="B13" i="9"/>
  <c r="B14" i="12" s="1"/>
  <c r="B12" i="9"/>
  <c r="B13" i="12" s="1"/>
  <c r="B11" i="9"/>
  <c r="B12" i="12" s="1"/>
  <c r="B10" i="9"/>
  <c r="B11" i="12" s="1"/>
  <c r="B8" i="9"/>
  <c r="B7" i="9"/>
  <c r="B8" i="12" s="1"/>
  <c r="B9" i="9"/>
  <c r="B10" i="12" s="1"/>
  <c r="B6" i="9"/>
  <c r="B7" i="12" s="1"/>
  <c r="C3" i="14"/>
  <c r="G28" i="13"/>
  <c r="D28" i="13"/>
  <c r="E28" i="13"/>
  <c r="F28" i="13"/>
  <c r="H28" i="13"/>
  <c r="I28" i="13"/>
  <c r="J28" i="13"/>
  <c r="K28" i="13"/>
  <c r="L28" i="13"/>
  <c r="M28" i="13"/>
  <c r="N28" i="13"/>
  <c r="N25" i="13"/>
  <c r="L25" i="13"/>
  <c r="K25" i="13"/>
  <c r="J25" i="13"/>
  <c r="I25" i="13"/>
  <c r="H25" i="13"/>
  <c r="G25" i="13"/>
  <c r="E25" i="13"/>
  <c r="D25" i="13"/>
  <c r="F25" i="13"/>
  <c r="M25" i="13"/>
  <c r="C25" i="13"/>
  <c r="K16" i="13"/>
  <c r="K18" i="13" s="1"/>
  <c r="K21" i="13" s="1"/>
  <c r="J16" i="13"/>
  <c r="J18" i="13" s="1"/>
  <c r="J21" i="13" s="1"/>
  <c r="I16" i="13"/>
  <c r="G16" i="13"/>
  <c r="G18" i="13" s="1"/>
  <c r="G21" i="13" s="1"/>
  <c r="F16" i="13"/>
  <c r="F18" i="13" s="1"/>
  <c r="F21" i="13" s="1"/>
  <c r="E16" i="13"/>
  <c r="D16" i="13"/>
  <c r="D18" i="13" s="1"/>
  <c r="D21" i="13" s="1"/>
  <c r="H16" i="13"/>
  <c r="H18" i="13" s="1"/>
  <c r="H21" i="13" s="1"/>
  <c r="N16" i="13"/>
  <c r="N18" i="13" s="1"/>
  <c r="N21" i="13" s="1"/>
  <c r="C16" i="13"/>
  <c r="C18" i="13" s="1"/>
  <c r="N12" i="13"/>
  <c r="I12" i="13"/>
  <c r="K12" i="13"/>
  <c r="K9" i="13"/>
  <c r="K13" i="13" s="1"/>
  <c r="D12" i="13"/>
  <c r="E12" i="13"/>
  <c r="F12" i="13"/>
  <c r="J12" i="13"/>
  <c r="L12" i="13"/>
  <c r="M12" i="13"/>
  <c r="C12" i="13"/>
  <c r="N9" i="13"/>
  <c r="N13" i="13" s="1"/>
  <c r="L9" i="13"/>
  <c r="L13" i="13" s="1"/>
  <c r="I9" i="13"/>
  <c r="I13" i="13" s="1"/>
  <c r="G9" i="13"/>
  <c r="G13" i="13" s="1"/>
  <c r="E9" i="13"/>
  <c r="E13" i="13" s="1"/>
  <c r="C9" i="13"/>
  <c r="D9" i="13"/>
  <c r="D13" i="13" s="1"/>
  <c r="F9" i="13"/>
  <c r="F13" i="13" s="1"/>
  <c r="H9" i="13"/>
  <c r="H13" i="13" s="1"/>
  <c r="J9" i="13"/>
  <c r="J13" i="13" s="1"/>
  <c r="M9" i="13"/>
  <c r="M13" i="13" s="1"/>
  <c r="J24" i="13"/>
  <c r="G24" i="13"/>
  <c r="E24" i="13"/>
  <c r="C24" i="13"/>
  <c r="D24" i="13"/>
  <c r="F24" i="13"/>
  <c r="H24" i="13"/>
  <c r="I24" i="13"/>
  <c r="L24" i="13"/>
  <c r="F20" i="13"/>
  <c r="N20" i="13"/>
  <c r="K20" i="13"/>
  <c r="D20" i="13"/>
  <c r="E20" i="13"/>
  <c r="G20" i="13"/>
  <c r="H20" i="13"/>
  <c r="I20" i="13"/>
  <c r="J20" i="13"/>
  <c r="L20" i="13"/>
  <c r="M20" i="13"/>
  <c r="C20" i="13"/>
  <c r="N15" i="13"/>
  <c r="M15" i="13"/>
  <c r="L15" i="13"/>
  <c r="K15" i="13"/>
  <c r="G15" i="13"/>
  <c r="D15" i="13"/>
  <c r="E15" i="13"/>
  <c r="C15" i="13"/>
  <c r="M11" i="13"/>
  <c r="J11" i="13"/>
  <c r="D11" i="13"/>
  <c r="E11" i="13"/>
  <c r="F11" i="13"/>
  <c r="G11" i="13"/>
  <c r="H11" i="13"/>
  <c r="I11" i="13"/>
  <c r="K11" i="13"/>
  <c r="L11" i="13"/>
  <c r="N11" i="13"/>
  <c r="C11" i="13"/>
  <c r="N8" i="13"/>
  <c r="K8" i="13"/>
  <c r="H8" i="13"/>
  <c r="E8" i="13"/>
  <c r="D8" i="13"/>
  <c r="F8" i="13"/>
  <c r="G8" i="13"/>
  <c r="I8" i="13"/>
  <c r="J8" i="13"/>
  <c r="L8" i="13"/>
  <c r="M8" i="13"/>
  <c r="C8" i="13"/>
  <c r="M6" i="13"/>
  <c r="I6" i="13"/>
  <c r="G6" i="13"/>
  <c r="E6" i="13"/>
  <c r="F6" i="13"/>
  <c r="H6" i="13"/>
  <c r="J6" i="13"/>
  <c r="K6" i="13"/>
  <c r="L6" i="13"/>
  <c r="N6" i="13"/>
  <c r="D6" i="13"/>
  <c r="C6" i="13"/>
  <c r="I26" i="13"/>
  <c r="N26" i="13"/>
  <c r="M26" i="13"/>
  <c r="G22" i="13"/>
  <c r="K22" i="13"/>
  <c r="F26" i="13"/>
  <c r="D26" i="13"/>
  <c r="E26" i="13"/>
  <c r="G26" i="13"/>
  <c r="H26" i="13"/>
  <c r="J26" i="13"/>
  <c r="K26" i="13"/>
  <c r="L26" i="13"/>
  <c r="D22" i="13"/>
  <c r="E22" i="13"/>
  <c r="F22" i="13"/>
  <c r="H22" i="13"/>
  <c r="I22" i="13"/>
  <c r="J22" i="13"/>
  <c r="L22" i="13"/>
  <c r="M22" i="13"/>
  <c r="N22" i="13"/>
  <c r="L5" i="13"/>
  <c r="N5" i="13"/>
  <c r="M5" i="13"/>
  <c r="K5" i="13"/>
  <c r="J5" i="13"/>
  <c r="I5" i="13"/>
  <c r="H5" i="13"/>
  <c r="G5" i="13"/>
  <c r="F5" i="13"/>
  <c r="D5" i="13"/>
  <c r="E5" i="13"/>
  <c r="C5" i="13"/>
  <c r="D7" i="12"/>
  <c r="E7" i="12"/>
  <c r="F7" i="12"/>
  <c r="H7" i="12"/>
  <c r="D8" i="12"/>
  <c r="E8" i="12"/>
  <c r="F8" i="12"/>
  <c r="H8" i="12"/>
  <c r="J8" i="12"/>
  <c r="C9" i="12"/>
  <c r="D9" i="12"/>
  <c r="E9" i="12"/>
  <c r="F9" i="12"/>
  <c r="G9" i="12"/>
  <c r="H9" i="12"/>
  <c r="I9" i="12"/>
  <c r="L23" i="12" s="1"/>
  <c r="J9" i="12"/>
  <c r="D10" i="12"/>
  <c r="E10" i="12"/>
  <c r="I10" i="12"/>
  <c r="C11" i="12"/>
  <c r="D11" i="12"/>
  <c r="E11" i="12"/>
  <c r="F11" i="12"/>
  <c r="G11" i="12"/>
  <c r="H11" i="12"/>
  <c r="I11" i="12"/>
  <c r="L24" i="12" s="1"/>
  <c r="J11" i="12"/>
  <c r="C12" i="12"/>
  <c r="D12" i="12"/>
  <c r="E12" i="12"/>
  <c r="G12" i="12"/>
  <c r="H12" i="12"/>
  <c r="J12" i="12"/>
  <c r="C13" i="12"/>
  <c r="D13" i="12"/>
  <c r="E13" i="12"/>
  <c r="G13" i="12"/>
  <c r="H13" i="12"/>
  <c r="C14" i="12"/>
  <c r="D14" i="12"/>
  <c r="E14" i="12"/>
  <c r="I14" i="12"/>
  <c r="L28" i="12" s="1"/>
  <c r="J14" i="12"/>
  <c r="C15" i="12"/>
  <c r="D15" i="12"/>
  <c r="E15" i="12"/>
  <c r="F15" i="12"/>
  <c r="G15" i="12"/>
  <c r="H15" i="12"/>
  <c r="I15" i="12"/>
  <c r="B9" i="12"/>
  <c r="D3" i="10"/>
  <c r="C3" i="11"/>
  <c r="B8" i="11"/>
  <c r="B11" i="11"/>
  <c r="B12" i="11"/>
  <c r="B13" i="11"/>
  <c r="B14" i="11"/>
  <c r="B16" i="11"/>
  <c r="B17" i="11"/>
  <c r="B18" i="11"/>
  <c r="B19" i="11"/>
  <c r="B22" i="11"/>
  <c r="B24" i="11"/>
  <c r="B7" i="11"/>
  <c r="G12" i="5" l="1"/>
  <c r="A22" i="14"/>
  <c r="C23" i="12"/>
  <c r="C21" i="12"/>
  <c r="L26" i="12"/>
  <c r="L22" i="12"/>
  <c r="B21" i="12"/>
  <c r="M6" i="9" s="1"/>
  <c r="B22" i="12"/>
  <c r="M7" i="9" s="1"/>
  <c r="D21" i="12"/>
  <c r="C29" i="12"/>
  <c r="A24" i="14"/>
  <c r="B29" i="12"/>
  <c r="M14" i="9" s="1"/>
  <c r="B25" i="12"/>
  <c r="M10" i="9" s="1"/>
  <c r="C28" i="12"/>
  <c r="E27" i="12"/>
  <c r="B28" i="12"/>
  <c r="M13" i="9" s="1"/>
  <c r="A25" i="14"/>
  <c r="B26" i="12"/>
  <c r="M11" i="9" s="1"/>
  <c r="C24" i="12"/>
  <c r="B24" i="12"/>
  <c r="M9" i="9" s="1"/>
  <c r="B23" i="12"/>
  <c r="M8" i="9" s="1"/>
  <c r="B27" i="12"/>
  <c r="M12" i="9" s="1"/>
  <c r="C22" i="12"/>
  <c r="A20" i="14"/>
  <c r="A26" i="14"/>
  <c r="A28" i="14"/>
  <c r="A5" i="14"/>
  <c r="A9" i="14"/>
  <c r="A13" i="14"/>
  <c r="A11" i="14"/>
  <c r="A15" i="14"/>
  <c r="A6" i="14"/>
  <c r="A8" i="14"/>
  <c r="A12" i="14"/>
  <c r="A16" i="14"/>
  <c r="I13" i="3"/>
  <c r="E15" i="10" s="1"/>
  <c r="I14" i="3"/>
  <c r="E16" i="10" s="1"/>
  <c r="B17" i="5"/>
  <c r="I11" i="5"/>
  <c r="I6" i="3"/>
  <c r="E8" i="10" s="1"/>
  <c r="I7" i="3"/>
  <c r="E9" i="10" s="1"/>
  <c r="I8" i="3"/>
  <c r="E10" i="10" s="1"/>
  <c r="I9" i="3"/>
  <c r="E11" i="10" s="1"/>
  <c r="I10" i="3"/>
  <c r="E12" i="10" s="1"/>
  <c r="I11" i="3"/>
  <c r="E13" i="10" s="1"/>
  <c r="I12" i="3"/>
  <c r="E14" i="10" s="1"/>
  <c r="I5" i="3"/>
  <c r="E7" i="10" s="1"/>
  <c r="L10" i="10" l="1"/>
  <c r="L11" i="10"/>
  <c r="L12" i="10"/>
  <c r="L13" i="10"/>
  <c r="L16" i="10"/>
  <c r="L9" i="10"/>
  <c r="L7" i="10"/>
  <c r="L14" i="10"/>
  <c r="L15" i="10"/>
  <c r="I17" i="3"/>
  <c r="L8" i="10"/>
  <c r="E21" i="12"/>
  <c r="F27" i="12"/>
  <c r="F21" i="12" l="1"/>
  <c r="G21" i="12" s="1"/>
  <c r="G27" i="12"/>
  <c r="I27" i="12" s="1"/>
  <c r="I21" i="12" l="1"/>
  <c r="C5" i="14" s="1"/>
  <c r="C22" i="14"/>
  <c r="J21" i="12" l="1"/>
  <c r="C6" i="14" s="1"/>
  <c r="J27" i="12"/>
  <c r="O27" i="12" s="1"/>
  <c r="M21" i="12" l="1"/>
  <c r="C23" i="13"/>
  <c r="D28" i="12"/>
  <c r="E28" i="12" s="1"/>
  <c r="F28" i="12" s="1"/>
  <c r="G28" i="12" s="1"/>
  <c r="O21" i="12"/>
  <c r="D22" i="12" s="1"/>
  <c r="M27" i="12"/>
  <c r="C23" i="14"/>
  <c r="F23" i="13" l="1"/>
  <c r="M23" i="13"/>
  <c r="I23" i="13"/>
  <c r="E23" i="13"/>
  <c r="L23" i="13"/>
  <c r="H23" i="13"/>
  <c r="D23" i="13"/>
  <c r="K23" i="13"/>
  <c r="G23" i="13"/>
  <c r="N23" i="13"/>
  <c r="J23" i="13"/>
  <c r="I28" i="12"/>
  <c r="C24" i="14" s="1"/>
  <c r="H27" i="12"/>
  <c r="A23" i="14" l="1"/>
  <c r="J28" i="12"/>
  <c r="C7" i="13"/>
  <c r="F7" i="13" s="1"/>
  <c r="E22" i="12"/>
  <c r="F22" i="12" s="1"/>
  <c r="G22" i="12" s="1"/>
  <c r="M28" i="12" l="1"/>
  <c r="N27" i="12" s="1"/>
  <c r="D23" i="10" s="1"/>
  <c r="F23" i="10" s="1"/>
  <c r="O28" i="12"/>
  <c r="C25" i="14"/>
  <c r="I7" i="13"/>
  <c r="H7" i="13"/>
  <c r="I22" i="12"/>
  <c r="J22" i="12" s="1"/>
  <c r="M22" i="12" s="1"/>
  <c r="K7" i="13"/>
  <c r="L7" i="13"/>
  <c r="N7" i="13"/>
  <c r="M7" i="13"/>
  <c r="G7" i="13"/>
  <c r="E7" i="13"/>
  <c r="J7" i="13"/>
  <c r="D7" i="13"/>
  <c r="A7" i="14" l="1"/>
  <c r="O22" i="12"/>
  <c r="C9" i="14"/>
  <c r="C8" i="14"/>
  <c r="C10" i="13" l="1"/>
  <c r="F10" i="13" s="1"/>
  <c r="D23" i="12"/>
  <c r="E23" i="12" s="1"/>
  <c r="F23" i="12" s="1"/>
  <c r="G23" i="12" s="1"/>
  <c r="H21" i="12" s="1"/>
  <c r="N21" i="12"/>
  <c r="D17" i="10" s="1"/>
  <c r="F17" i="10" s="1"/>
  <c r="E10" i="13" l="1"/>
  <c r="D10" i="13"/>
  <c r="G10" i="13"/>
  <c r="M10" i="13"/>
  <c r="H10" i="13"/>
  <c r="J10" i="13"/>
  <c r="I10" i="13"/>
  <c r="L10" i="13"/>
  <c r="K10" i="13"/>
  <c r="N10" i="13"/>
  <c r="A10" i="14"/>
  <c r="I23" i="12"/>
  <c r="J23" i="12" s="1"/>
  <c r="O23" i="12" s="1"/>
  <c r="D24" i="12" l="1"/>
  <c r="E24" i="12" s="1"/>
  <c r="F24" i="12" s="1"/>
  <c r="G24" i="12" s="1"/>
  <c r="I24" i="12" s="1"/>
  <c r="C14" i="14" s="1"/>
  <c r="M23" i="12"/>
  <c r="N22" i="12" s="1"/>
  <c r="D18" i="10" s="1"/>
  <c r="F18" i="10" s="1"/>
  <c r="C12" i="14"/>
  <c r="C11" i="14"/>
  <c r="J24" i="12" l="1"/>
  <c r="C15" i="14" s="1"/>
  <c r="C14" i="13"/>
  <c r="D14" i="13" l="1"/>
  <c r="M14" i="13"/>
  <c r="L14" i="13"/>
  <c r="K14" i="13"/>
  <c r="N14" i="13"/>
  <c r="I14" i="13"/>
  <c r="O24" i="12"/>
  <c r="D25" i="12" s="1"/>
  <c r="E14" i="13"/>
  <c r="F14" i="13"/>
  <c r="H14" i="13"/>
  <c r="J14" i="13"/>
  <c r="G14" i="13"/>
  <c r="M24" i="12"/>
  <c r="N23" i="12" s="1"/>
  <c r="D19" i="10" s="1"/>
  <c r="F19" i="10" s="1"/>
  <c r="A14" i="14"/>
  <c r="C21" i="13" l="1"/>
  <c r="C25" i="12"/>
  <c r="E25" i="12" s="1"/>
  <c r="F25" i="12" s="1"/>
  <c r="G25" i="12" s="1"/>
  <c r="I25" i="12" s="1"/>
  <c r="A18" i="14"/>
  <c r="C17" i="13"/>
  <c r="H17" i="13" s="1"/>
  <c r="J25" i="12" l="1"/>
  <c r="C17" i="14"/>
  <c r="A21" i="14"/>
  <c r="C26" i="12"/>
  <c r="O26" i="12" s="1"/>
  <c r="O25" i="12"/>
  <c r="D26" i="12" s="1"/>
  <c r="J17" i="13"/>
  <c r="K17" i="13"/>
  <c r="I17" i="13"/>
  <c r="G17" i="13"/>
  <c r="F17" i="13"/>
  <c r="E17" i="13"/>
  <c r="M17" i="13"/>
  <c r="D17" i="13"/>
  <c r="A17" i="14" s="1"/>
  <c r="N17" i="13"/>
  <c r="L17" i="13"/>
  <c r="E26" i="12" l="1"/>
  <c r="F26" i="12" s="1"/>
  <c r="G26" i="12" s="1"/>
  <c r="C27" i="13"/>
  <c r="A27" i="14" s="1"/>
  <c r="D29" i="12"/>
  <c r="E29" i="12" s="1"/>
  <c r="F29" i="12" s="1"/>
  <c r="G29" i="12" s="1"/>
  <c r="C19" i="13"/>
  <c r="A19" i="14" s="1"/>
  <c r="M25" i="12"/>
  <c r="N24" i="12" s="1"/>
  <c r="D20" i="10" s="1"/>
  <c r="F20" i="10" s="1"/>
  <c r="C18" i="14"/>
  <c r="I26" i="12"/>
  <c r="H24" i="12"/>
  <c r="I19" i="13" l="1"/>
  <c r="F19" i="13"/>
  <c r="G31" i="12"/>
  <c r="E10" i="5" s="1"/>
  <c r="B10" i="5" s="1"/>
  <c r="D19" i="13"/>
  <c r="M19" i="13"/>
  <c r="E19" i="13"/>
  <c r="L19" i="13"/>
  <c r="K19" i="13"/>
  <c r="J19" i="13"/>
  <c r="N19" i="13"/>
  <c r="G19" i="13"/>
  <c r="H19" i="13"/>
  <c r="H29" i="12"/>
  <c r="H31" i="12" s="1"/>
  <c r="I29" i="12"/>
  <c r="E27" i="13"/>
  <c r="J27" i="13"/>
  <c r="D27" i="13"/>
  <c r="I27" i="13"/>
  <c r="N27" i="13"/>
  <c r="H27" i="13"/>
  <c r="M27" i="13"/>
  <c r="G27" i="13"/>
  <c r="L27" i="13"/>
  <c r="F27" i="13"/>
  <c r="K27" i="13"/>
  <c r="C20" i="14"/>
  <c r="J26" i="12"/>
  <c r="M26" i="12" s="1"/>
  <c r="C26" i="14" l="1"/>
  <c r="J29" i="12"/>
  <c r="C27" i="14" s="1"/>
  <c r="I31" i="12"/>
  <c r="E11" i="5" s="1"/>
  <c r="B11" i="5" s="1"/>
  <c r="C21" i="14"/>
  <c r="M29" i="12" l="1"/>
  <c r="N25" i="12"/>
  <c r="D21" i="10" s="1"/>
  <c r="F21" i="10" s="1"/>
  <c r="N26" i="12" l="1"/>
  <c r="D22" i="10" s="1"/>
  <c r="F22" i="10" s="1"/>
  <c r="N29" i="12"/>
  <c r="E6" i="5" s="1"/>
  <c r="N28" i="12"/>
  <c r="D24" i="10" s="1"/>
  <c r="F24" i="10" s="1"/>
  <c r="F25" i="10" l="1"/>
  <c r="B6" i="5" l="1"/>
  <c r="B7" i="5" s="1"/>
  <c r="K10" i="10" l="1"/>
  <c r="M10" i="10" s="1"/>
  <c r="K8" i="10"/>
  <c r="M8" i="10" s="1"/>
  <c r="K9" i="10"/>
  <c r="N9" i="10" s="1"/>
  <c r="K15" i="10"/>
  <c r="N15" i="10" s="1"/>
  <c r="K12" i="10"/>
  <c r="M12" i="10" s="1"/>
  <c r="K16" i="10"/>
  <c r="N16" i="10" s="1"/>
  <c r="K11" i="10"/>
  <c r="M11" i="10" s="1"/>
  <c r="K14" i="10"/>
  <c r="N14" i="10" s="1"/>
  <c r="K13" i="10"/>
  <c r="M13" i="10" s="1"/>
  <c r="K7" i="10"/>
  <c r="M7" i="10" s="1"/>
  <c r="D14" i="10" l="1"/>
  <c r="F14" i="10" s="1"/>
  <c r="D11" i="10"/>
  <c r="F11" i="10" s="1"/>
  <c r="D16" i="10"/>
  <c r="F16" i="10" s="1"/>
  <c r="D12" i="10"/>
  <c r="F12" i="10" s="1"/>
  <c r="D15" i="10"/>
  <c r="F15" i="10" s="1"/>
  <c r="D7" i="10"/>
  <c r="F7" i="10" s="1"/>
  <c r="D13" i="10"/>
  <c r="F13" i="10" s="1"/>
  <c r="D8" i="10"/>
  <c r="F8" i="10" s="1"/>
  <c r="D10" i="10"/>
  <c r="F10" i="10" s="1"/>
  <c r="K27" i="10"/>
  <c r="E16" i="5" s="1"/>
  <c r="D9" i="10"/>
  <c r="F9" i="10" s="1"/>
  <c r="M14" i="10"/>
  <c r="M16" i="10"/>
  <c r="M15" i="10"/>
  <c r="M9" i="10"/>
  <c r="N7" i="10"/>
  <c r="N13" i="10"/>
  <c r="N11" i="10"/>
  <c r="N12" i="10"/>
  <c r="N8" i="10"/>
  <c r="N10" i="10"/>
  <c r="M27" i="10" l="1"/>
  <c r="B16" i="5" s="1"/>
  <c r="F27" i="10"/>
  <c r="E15" i="5" s="1"/>
  <c r="B18" i="5" s="1"/>
  <c r="N27" i="10"/>
  <c r="E12" i="5" s="1"/>
  <c r="B12" i="5" l="1"/>
  <c r="B13" i="5" s="1"/>
  <c r="B15" i="5"/>
  <c r="B19" i="5" s="1"/>
  <c r="B21" i="5" l="1"/>
  <c r="B23" i="5" s="1"/>
</calcChain>
</file>

<file path=xl/comments1.xml><?xml version="1.0" encoding="utf-8"?>
<comments xmlns="http://schemas.openxmlformats.org/spreadsheetml/2006/main">
  <authors>
    <author>Lacksonen, Thomas</author>
    <author>thomas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Demand is 200 chairs per month.  Extra chairs will not be sold.  Missed orders are lost sales.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One full-time worker is assigned to each machine regardless of capacity.
To reduce the number of workers, select the "cross training" lean idea.</t>
        </r>
      </text>
    </comment>
    <comment ref="E11" authorId="0">
      <text>
        <r>
          <rPr>
            <b/>
            <sz val="9"/>
            <color indexed="81"/>
            <rFont val="Tahoma"/>
            <family val="2"/>
          </rPr>
          <t>The number of overtime workers.  Overtime is determined at the start of the month based on expected production.  It is not reduced or later increased if a machine is down or starved of parts.  Overtime is 1/2 or one worker per machine depending on capacity calculations.
Overtime can be reduced by eliminating the disruptions at a machine or adding a machine.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2" authorId="0">
      <text>
        <r>
          <rPr>
            <b/>
            <sz val="9"/>
            <color indexed="81"/>
            <rFont val="Tahoma"/>
            <family val="2"/>
          </rPr>
          <t>Total purchased parts from the Inventory sheet.</t>
        </r>
      </text>
    </comment>
    <comment ref="G12" authorId="0">
      <text>
        <r>
          <rPr>
            <b/>
            <sz val="9"/>
            <color indexed="81"/>
            <rFont val="Tahoma"/>
            <family val="2"/>
          </rPr>
          <t>Total scrap when bad quality parts are produced, at $100 per station per day.
Scrap can be reduced with the "quality at the source" and "reduce batch size" lean ideas.</t>
        </r>
      </text>
    </comment>
    <comment ref="E15" authorId="0">
      <text>
        <r>
          <rPr>
            <b/>
            <sz val="9"/>
            <color indexed="81"/>
            <rFont val="Tahoma"/>
            <family val="2"/>
          </rPr>
          <t>The total on-hand inventory at the end of the month.  There is a total of 7% of holding costs, including cash and storage costs.</t>
        </r>
      </text>
    </comment>
    <comment ref="E16" authorId="0">
      <text>
        <r>
          <rPr>
            <b/>
            <sz val="9"/>
            <color indexed="81"/>
            <rFont val="Tahoma"/>
            <family val="2"/>
          </rPr>
          <t>This is the total number of purchase orders this month from the Inventory sheet.</t>
        </r>
      </text>
    </comment>
    <comment ref="E17" authorId="0">
      <text>
        <r>
          <rPr>
            <b/>
            <sz val="9"/>
            <color indexed="81"/>
            <rFont val="Tahoma"/>
            <family val="2"/>
          </rPr>
          <t>This is the total cost of lean ideas implemented this month.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8" authorId="1">
      <text>
        <r>
          <rPr>
            <b/>
            <sz val="8"/>
            <color indexed="81"/>
            <rFont val="Tahoma"/>
            <family val="2"/>
          </rPr>
          <t>This is the overhead cost for the month.  The initial baseline starts at $19,000 per month.  It is decreased $700 if cells are implemented (space savings).  It is decreased $500 for each "self-directed team" cell (supervison savings).  It is increased $300 per month for each additional machine purchased.</t>
        </r>
      </text>
    </comment>
  </commentList>
</comments>
</file>

<file path=xl/sharedStrings.xml><?xml version="1.0" encoding="utf-8"?>
<sst xmlns="http://schemas.openxmlformats.org/spreadsheetml/2006/main" count="859" uniqueCount="366">
  <si>
    <t>Indented bill of materials (partial)</t>
  </si>
  <si>
    <t>Level</t>
  </si>
  <si>
    <t>Quantity</t>
  </si>
  <si>
    <t>Assembly or part</t>
  </si>
  <si>
    <t>0</t>
  </si>
  <si>
    <t>Completed wheelchair</t>
  </si>
  <si>
    <t xml:space="preserve">    2</t>
  </si>
  <si>
    <t>Frame side assembly</t>
  </si>
  <si>
    <t xml:space="preserve">      3</t>
  </si>
  <si>
    <t xml:space="preserve">        4</t>
  </si>
  <si>
    <t>Back tube</t>
  </si>
  <si>
    <t>Horizontal tube</t>
  </si>
  <si>
    <t>Cross tube</t>
  </si>
  <si>
    <t xml:space="preserve">          5</t>
  </si>
  <si>
    <t>Seat tube</t>
  </si>
  <si>
    <t>Front wheel assembly</t>
  </si>
  <si>
    <t>Caster wheel</t>
  </si>
  <si>
    <t>Caster fork assembly</t>
  </si>
  <si>
    <t>Rear wheel assembly</t>
  </si>
  <si>
    <t>Rear bike wheel</t>
  </si>
  <si>
    <t>Hand rim</t>
  </si>
  <si>
    <t>Footrest assembly</t>
  </si>
  <si>
    <t>Footrest plate</t>
  </si>
  <si>
    <t>Brake lever</t>
  </si>
  <si>
    <t xml:space="preserve">  2</t>
  </si>
  <si>
    <t>Seat</t>
  </si>
  <si>
    <t xml:space="preserve">    3</t>
  </si>
  <si>
    <t>Back</t>
  </si>
  <si>
    <t>Handle</t>
  </si>
  <si>
    <t>Fender</t>
  </si>
  <si>
    <t>Current</t>
  </si>
  <si>
    <t>Machine</t>
  </si>
  <si>
    <t>Setup time</t>
  </si>
  <si>
    <t>Process times</t>
  </si>
  <si>
    <t>Mitre saw</t>
  </si>
  <si>
    <t>Drill press</t>
  </si>
  <si>
    <t>Paint booth</t>
  </si>
  <si>
    <t>Fabric cutter</t>
  </si>
  <si>
    <t>Sewing</t>
  </si>
  <si>
    <t>1 - 4 mins.</t>
  </si>
  <si>
    <t>2 - 8 mins.</t>
  </si>
  <si>
    <t>2 - 30 mins.</t>
  </si>
  <si>
    <t>Welding</t>
  </si>
  <si>
    <t>4 - 8 mins.</t>
  </si>
  <si>
    <t>Efficiency</t>
  </si>
  <si>
    <t>Reliability</t>
  </si>
  <si>
    <t>Total time</t>
  </si>
  <si>
    <t>No. parts</t>
  </si>
  <si>
    <t>12 - 30 mins.</t>
  </si>
  <si>
    <t>2 mins.</t>
  </si>
  <si>
    <t>1 - 3 mins.</t>
  </si>
  <si>
    <t>Tube bender</t>
  </si>
  <si>
    <t>Key part routings</t>
  </si>
  <si>
    <t>Part and assembly</t>
  </si>
  <si>
    <t>Operation</t>
  </si>
  <si>
    <t>Workstation</t>
  </si>
  <si>
    <t>Minutes</t>
  </si>
  <si>
    <t>Pack</t>
  </si>
  <si>
    <t xml:space="preserve">  1</t>
  </si>
  <si>
    <t>Wheelchair assembly</t>
  </si>
  <si>
    <t>Weld/braze</t>
  </si>
  <si>
    <t>Paint</t>
  </si>
  <si>
    <t>Painting</t>
  </si>
  <si>
    <t>Angle cut</t>
  </si>
  <si>
    <t>Saw</t>
  </si>
  <si>
    <t>Drill 3 holes</t>
  </si>
  <si>
    <t>Drilling</t>
  </si>
  <si>
    <t>Two bends</t>
  </si>
  <si>
    <t>Bending</t>
  </si>
  <si>
    <t>Bend</t>
  </si>
  <si>
    <t>Cut</t>
  </si>
  <si>
    <t>Drill 2 holes</t>
  </si>
  <si>
    <t>Assemble components</t>
  </si>
  <si>
    <t>Hand drill 4 holes</t>
  </si>
  <si>
    <t>Hand rim assembly</t>
  </si>
  <si>
    <t>Lock bar</t>
  </si>
  <si>
    <t>Fabric cut</t>
  </si>
  <si>
    <t>Sew seams</t>
  </si>
  <si>
    <t>Final assembly</t>
  </si>
  <si>
    <t>Assembly</t>
  </si>
  <si>
    <t>Sew seams, add pocket</t>
  </si>
  <si>
    <t>Material</t>
  </si>
  <si>
    <t>Per chair</t>
  </si>
  <si>
    <t>Unit load</t>
  </si>
  <si>
    <t>box of 20</t>
  </si>
  <si>
    <t>box of 200</t>
  </si>
  <si>
    <t>box of 100</t>
  </si>
  <si>
    <t>10cm</t>
  </si>
  <si>
    <t>50m x 150cm roll</t>
  </si>
  <si>
    <t>Total</t>
  </si>
  <si>
    <t>90cm</t>
  </si>
  <si>
    <t>65cm</t>
  </si>
  <si>
    <t>70cm</t>
  </si>
  <si>
    <t>32cm</t>
  </si>
  <si>
    <t>5cm</t>
  </si>
  <si>
    <t>40cm</t>
  </si>
  <si>
    <t>20cm</t>
  </si>
  <si>
    <t>25cm</t>
  </si>
  <si>
    <t>60cm</t>
  </si>
  <si>
    <t>22cm</t>
  </si>
  <si>
    <t>50cm</t>
  </si>
  <si>
    <t>1m -1/2</t>
  </si>
  <si>
    <t>1m x 150cm</t>
  </si>
  <si>
    <t>Changes</t>
  </si>
  <si>
    <t>5-S</t>
  </si>
  <si>
    <t>SMED</t>
  </si>
  <si>
    <t>Quality</t>
  </si>
  <si>
    <t>Cells</t>
  </si>
  <si>
    <t>Cross training</t>
  </si>
  <si>
    <t>Preventive maintenance</t>
  </si>
  <si>
    <t>Vendor certification</t>
  </si>
  <si>
    <t>Small purchase lot sizes</t>
  </si>
  <si>
    <t>Small lot sizes</t>
  </si>
  <si>
    <t>New equipment</t>
  </si>
  <si>
    <t>Where?</t>
  </si>
  <si>
    <t>Supermarket</t>
  </si>
  <si>
    <t>In Metal, Weld cells</t>
  </si>
  <si>
    <t>Overall</t>
  </si>
  <si>
    <t>Any process</t>
  </si>
  <si>
    <t>Cost</t>
  </si>
  <si>
    <t>$100 per cell</t>
  </si>
  <si>
    <t>$100 per station</t>
  </si>
  <si>
    <t>$300 per station</t>
  </si>
  <si>
    <t>$200 per cell</t>
  </si>
  <si>
    <t>$200 per station</t>
  </si>
  <si>
    <t>$700 per station</t>
  </si>
  <si>
    <t>Other decisions</t>
  </si>
  <si>
    <t>Overtime</t>
  </si>
  <si>
    <t>Any station</t>
  </si>
  <si>
    <t>Level loading</t>
  </si>
  <si>
    <t>Staffing</t>
  </si>
  <si>
    <t>Income</t>
  </si>
  <si>
    <t>Chairs sold</t>
  </si>
  <si>
    <t>Production volume</t>
  </si>
  <si>
    <t>build-to-order, lost sales</t>
  </si>
  <si>
    <t>Sales</t>
  </si>
  <si>
    <t>Price</t>
  </si>
  <si>
    <t>Expenses</t>
  </si>
  <si>
    <t>Total income</t>
  </si>
  <si>
    <t>Labor - regular</t>
  </si>
  <si>
    <t>Labor - overtime</t>
  </si>
  <si>
    <t>Purchased materials</t>
  </si>
  <si>
    <t>Inventory cost</t>
  </si>
  <si>
    <t xml:space="preserve">  Direct cost</t>
  </si>
  <si>
    <t>Lean improvements</t>
  </si>
  <si>
    <t>Overhead</t>
  </si>
  <si>
    <t xml:space="preserve">  Indirect cost</t>
  </si>
  <si>
    <t>Total expenses</t>
  </si>
  <si>
    <t>Workers</t>
  </si>
  <si>
    <t>Rate</t>
  </si>
  <si>
    <t>Total profit</t>
  </si>
  <si>
    <t>Ordering cost</t>
  </si>
  <si>
    <t>Orders</t>
  </si>
  <si>
    <t>Vendor</t>
  </si>
  <si>
    <t>Steel</t>
  </si>
  <si>
    <t>Fabric</t>
  </si>
  <si>
    <t>Bike</t>
  </si>
  <si>
    <t>Any vendor</t>
  </si>
  <si>
    <t>Idea</t>
  </si>
  <si>
    <t>Self-directed teams</t>
  </si>
  <si>
    <t>Drill holes</t>
  </si>
  <si>
    <t>Handling</t>
  </si>
  <si>
    <t>Order cost</t>
  </si>
  <si>
    <t>Monthly problems</t>
  </si>
  <si>
    <t>Month</t>
  </si>
  <si>
    <t>Capacity</t>
  </si>
  <si>
    <t>Raw materials</t>
  </si>
  <si>
    <t>In all cases</t>
  </si>
  <si>
    <t>Reduced severity</t>
  </si>
  <si>
    <t>Eliminated</t>
  </si>
  <si>
    <t>bars late</t>
  </si>
  <si>
    <t>bıke wheels late</t>
  </si>
  <si>
    <t>welder - 3</t>
  </si>
  <si>
    <t>Out of stock</t>
  </si>
  <si>
    <t>WIP, FG as calculated</t>
  </si>
  <si>
    <t>as calculated</t>
  </si>
  <si>
    <t>bars late if small lots</t>
  </si>
  <si>
    <t>brake levers late if small lots</t>
  </si>
  <si>
    <t>bıke wheels late if small lots</t>
  </si>
  <si>
    <t>drill - 2, welder - 2, sewing - 2</t>
  </si>
  <si>
    <r>
      <t xml:space="preserve">bend - 2, </t>
    </r>
    <r>
      <rPr>
        <sz val="11"/>
        <rFont val="Arial"/>
        <family val="2"/>
      </rPr>
      <t>welder - 3</t>
    </r>
  </si>
  <si>
    <r>
      <t xml:space="preserve">bend - 1, </t>
    </r>
    <r>
      <rPr>
        <sz val="11"/>
        <rFont val="Arial"/>
        <family val="2"/>
      </rPr>
      <t xml:space="preserve">welder - 3, </t>
    </r>
    <r>
      <rPr>
        <sz val="11"/>
        <color rgb="FF00B050"/>
        <rFont val="Arial"/>
        <family val="2"/>
      </rPr>
      <t>sewing - 2</t>
    </r>
  </si>
  <si>
    <r>
      <t xml:space="preserve">saw - 3, welder - 2, </t>
    </r>
    <r>
      <rPr>
        <sz val="11"/>
        <rFont val="Arial"/>
        <family val="2"/>
      </rPr>
      <t>sewing - 2</t>
    </r>
  </si>
  <si>
    <r>
      <t xml:space="preserve">saw - 2, </t>
    </r>
    <r>
      <rPr>
        <sz val="11"/>
        <rFont val="Arial"/>
        <family val="2"/>
      </rPr>
      <t>sewing - 2</t>
    </r>
  </si>
  <si>
    <t>Quality at the source</t>
  </si>
  <si>
    <t>Reliability - days down</t>
  </si>
  <si>
    <t>Quality - bad batches</t>
  </si>
  <si>
    <t>drıll - 1, bend - 1, weld - 2, sewıng - 1</t>
  </si>
  <si>
    <t>bend - 1, weld - 2</t>
  </si>
  <si>
    <t>weld - 2</t>
  </si>
  <si>
    <t>Grind</t>
  </si>
  <si>
    <t>Cut and notch 2 ends</t>
  </si>
  <si>
    <t>Crimp 2 ends and grind</t>
  </si>
  <si>
    <t>Bend into ring</t>
  </si>
  <si>
    <t>Crimp and grind</t>
  </si>
  <si>
    <t>8 - 49 mins.</t>
  </si>
  <si>
    <t>Grinder</t>
  </si>
  <si>
    <t>mins/day</t>
  </si>
  <si>
    <t>chairs</t>
  </si>
  <si>
    <t>mins/chair</t>
  </si>
  <si>
    <t>Batch size</t>
  </si>
  <si>
    <t>per month</t>
  </si>
  <si>
    <t>Order qty</t>
  </si>
  <si>
    <t>bundle - 10 6m tubes</t>
  </si>
  <si>
    <t>$1000 total</t>
  </si>
  <si>
    <t>$100 per vendor</t>
  </si>
  <si>
    <t>$200 per vendor</t>
  </si>
  <si>
    <t>Metal</t>
  </si>
  <si>
    <t>Kanban</t>
  </si>
  <si>
    <t>Reduce production lot sizes by 1/2</t>
  </si>
  <si>
    <t>Lower set-up times by 80%</t>
  </si>
  <si>
    <t>Downtime down 80% (60% fewer downs, 1 day each)</t>
  </si>
  <si>
    <t>ROP</t>
  </si>
  <si>
    <t>chaırs</t>
  </si>
  <si>
    <t>Inventory</t>
  </si>
  <si>
    <t>Part</t>
  </si>
  <si>
    <t>Value</t>
  </si>
  <si>
    <t>Chair</t>
  </si>
  <si>
    <t>Batches</t>
  </si>
  <si>
    <t>January</t>
  </si>
  <si>
    <t>Number</t>
  </si>
  <si>
    <t>Order</t>
  </si>
  <si>
    <t>% of inventory</t>
  </si>
  <si>
    <t>Hours each</t>
  </si>
  <si>
    <t>Baseline</t>
  </si>
  <si>
    <t>All-World Wheelchair</t>
  </si>
  <si>
    <t>All-world Wheelchair</t>
  </si>
  <si>
    <t>Equipment data</t>
  </si>
  <si>
    <t>Inventory and purchasing status</t>
  </si>
  <si>
    <t>Outer tube</t>
  </si>
  <si>
    <t>Caster tube</t>
  </si>
  <si>
    <t>Lower tube</t>
  </si>
  <si>
    <t>Hand tube</t>
  </si>
  <si>
    <t>Folding assembly</t>
  </si>
  <si>
    <t>Connecting tube</t>
  </si>
  <si>
    <t>Footrest plate tube</t>
  </si>
  <si>
    <t>Footrest mount tube</t>
  </si>
  <si>
    <t>19x1mm tube</t>
  </si>
  <si>
    <t>25x1mm tube</t>
  </si>
  <si>
    <t>35x2mm tube</t>
  </si>
  <si>
    <t>Nylon fabric</t>
  </si>
  <si>
    <t>750cm</t>
  </si>
  <si>
    <t>mins.</t>
  </si>
  <si>
    <t>Price/chair</t>
  </si>
  <si>
    <t>Whirlwind annual profit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</si>
  <si>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</si>
  <si>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</si>
  <si>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</si>
  <si>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</si>
  <si>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</si>
  <si>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</si>
  <si>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</si>
  <si>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</si>
  <si>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</si>
  <si>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</si>
  <si>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</si>
  <si>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Drill</t>
  </si>
  <si>
    <t>Weld</t>
  </si>
  <si>
    <t>Components</t>
  </si>
  <si>
    <t>Improve efficiency to 96%</t>
  </si>
  <si>
    <t>Balance sheet</t>
  </si>
  <si>
    <t>done by simulation if capacity is short</t>
  </si>
  <si>
    <t>done by simulation</t>
  </si>
  <si>
    <t>Inventory orders</t>
  </si>
  <si>
    <t>Reduce purchase lot size to 1/4, re-order point to 0</t>
  </si>
  <si>
    <t>Status</t>
  </si>
  <si>
    <t>no</t>
  </si>
  <si>
    <t>Lean tools</t>
  </si>
  <si>
    <t>Any process with setup</t>
  </si>
  <si>
    <t>Any process with downtime</t>
  </si>
  <si>
    <t>Any cell</t>
  </si>
  <si>
    <t>Nylon</t>
  </si>
  <si>
    <t>Metal cut</t>
  </si>
  <si>
    <t>Any process quality problem</t>
  </si>
  <si>
    <t>Bender</t>
  </si>
  <si>
    <t>At Welding, Assembly</t>
  </si>
  <si>
    <t>Less WIP</t>
  </si>
  <si>
    <t>available</t>
  </si>
  <si>
    <t>needed</t>
  </si>
  <si>
    <t>workers</t>
  </si>
  <si>
    <t>overtime</t>
  </si>
  <si>
    <t>no cells</t>
  </si>
  <si>
    <t>Chairs/unit</t>
  </si>
  <si>
    <t>Price/unit</t>
  </si>
  <si>
    <t>train/cells</t>
  </si>
  <si>
    <t>Previous</t>
  </si>
  <si>
    <t>of orders</t>
  </si>
  <si>
    <t>footrest late ıf small lots</t>
  </si>
  <si>
    <t>Table of problems at workstations</t>
  </si>
  <si>
    <t>Problem</t>
  </si>
  <si>
    <t>Late parts days</t>
  </si>
  <si>
    <t>Downtime days</t>
  </si>
  <si>
    <t>Bad quality days</t>
  </si>
  <si>
    <t>Assembly bench</t>
  </si>
  <si>
    <t>nylon late if small lots</t>
  </si>
  <si>
    <t>Delayed quality days</t>
  </si>
  <si>
    <t>Batch = 1 day in weld, sewing, asembly</t>
  </si>
  <si>
    <t>Batch = 1/2 day elsewhere</t>
  </si>
  <si>
    <t>Batch = 1/2 if small lot sizes</t>
  </si>
  <si>
    <r>
      <rPr>
        <sz val="11"/>
        <color rgb="FFFF0000"/>
        <rFont val="Arial"/>
        <family val="2"/>
      </rPr>
      <t>drıll - 1,</t>
    </r>
    <r>
      <rPr>
        <sz val="11"/>
        <color rgb="FF00B050"/>
        <rFont val="Arial"/>
        <family val="2"/>
      </rPr>
      <t xml:space="preserve"> bend - 1, weld - 2, sewıng - 1</t>
    </r>
  </si>
  <si>
    <r>
      <t xml:space="preserve">drıll - 1, </t>
    </r>
    <r>
      <rPr>
        <sz val="11"/>
        <color rgb="FFFF0000"/>
        <rFont val="Arial"/>
        <family val="2"/>
      </rPr>
      <t>bend - 1,</t>
    </r>
    <r>
      <rPr>
        <sz val="11"/>
        <color rgb="FF00B050"/>
        <rFont val="Arial"/>
        <family val="2"/>
      </rPr>
      <t xml:space="preserve"> weld - 3</t>
    </r>
  </si>
  <si>
    <r>
      <t xml:space="preserve">bend - 1, </t>
    </r>
    <r>
      <rPr>
        <sz val="11"/>
        <color rgb="FFFF0000"/>
        <rFont val="Arial"/>
        <family val="2"/>
      </rPr>
      <t>weld - 2</t>
    </r>
  </si>
  <si>
    <r>
      <t xml:space="preserve">drıll - 2,  </t>
    </r>
    <r>
      <rPr>
        <sz val="11"/>
        <color rgb="FFFF0000"/>
        <rFont val="Arial"/>
        <family val="2"/>
      </rPr>
      <t>weld - 1</t>
    </r>
  </si>
  <si>
    <t>Late WIP days</t>
  </si>
  <si>
    <t>drıll - 2, bend - 2</t>
  </si>
  <si>
    <r>
      <t xml:space="preserve">drıll - 1, bend - 1, </t>
    </r>
    <r>
      <rPr>
        <sz val="11"/>
        <rFont val="Arial"/>
        <family val="2"/>
      </rPr>
      <t>weld - 2</t>
    </r>
    <r>
      <rPr>
        <sz val="11"/>
        <color rgb="FFFF0000"/>
        <rFont val="Arial"/>
        <family val="2"/>
      </rPr>
      <t>,</t>
    </r>
    <r>
      <rPr>
        <sz val="11"/>
        <color rgb="FF00B050"/>
        <rFont val="Arial"/>
        <family val="2"/>
      </rPr>
      <t xml:space="preserve"> sewıng - 1</t>
    </r>
  </si>
  <si>
    <r>
      <t xml:space="preserve">drıll - 1, bend - 1, </t>
    </r>
    <r>
      <rPr>
        <sz val="11"/>
        <rFont val="Arial"/>
        <family val="2"/>
      </rPr>
      <t>weld - 3,</t>
    </r>
    <r>
      <rPr>
        <sz val="11"/>
        <color theme="1"/>
        <rFont val="Arial"/>
        <family val="2"/>
      </rPr>
      <t xml:space="preserve"> </t>
    </r>
    <r>
      <rPr>
        <sz val="11"/>
        <color rgb="FFFF0000"/>
        <rFont val="Arial"/>
        <family val="2"/>
      </rPr>
      <t>sewıng - 1</t>
    </r>
  </si>
  <si>
    <t>Less WIP, less rework</t>
  </si>
  <si>
    <t>Monthly Problem List</t>
  </si>
  <si>
    <t>brake levers</t>
  </si>
  <si>
    <t>bike wheels</t>
  </si>
  <si>
    <t>footrest</t>
  </si>
  <si>
    <t>units</t>
  </si>
  <si>
    <t>Chairs</t>
  </si>
  <si>
    <t>days</t>
  </si>
  <si>
    <t>Mins/mo.</t>
  </si>
  <si>
    <t>machines</t>
  </si>
  <si>
    <t>Reduce number of workers only in cells</t>
  </si>
  <si>
    <t>starved</t>
  </si>
  <si>
    <t>down/qual</t>
  </si>
  <si>
    <t>days each</t>
  </si>
  <si>
    <t>Assembly drawings</t>
  </si>
  <si>
    <t xml:space="preserve"> 1</t>
  </si>
  <si>
    <t>Final assembly/test</t>
  </si>
  <si>
    <t>Select Ctrl-p to play one month of production</t>
  </si>
  <si>
    <t>Select Ctrl-d to display information</t>
  </si>
  <si>
    <t>machine</t>
  </si>
  <si>
    <t>Setup</t>
  </si>
  <si>
    <t>capacity</t>
  </si>
  <si>
    <t>inventory</t>
  </si>
  <si>
    <t>max chairs</t>
  </si>
  <si>
    <t>previous</t>
  </si>
  <si>
    <t>354cm</t>
  </si>
  <si>
    <t>0.2 - 1.2 min.</t>
  </si>
  <si>
    <t>final</t>
  </si>
  <si>
    <t>production</t>
  </si>
  <si>
    <t>max out</t>
  </si>
  <si>
    <t>Tube pieces from saw</t>
  </si>
  <si>
    <t>Tube pieces from drill</t>
  </si>
  <si>
    <t>Tube pieces from bender</t>
  </si>
  <si>
    <t>Weld pieces from welder</t>
  </si>
  <si>
    <t>Weld pieces from grinder</t>
  </si>
  <si>
    <t>Weld pieces from paint</t>
  </si>
  <si>
    <t>Fabric pieces from fab cut</t>
  </si>
  <si>
    <t>Fabric pieces from sewing</t>
  </si>
  <si>
    <t>actual</t>
  </si>
  <si>
    <t>late out</t>
  </si>
  <si>
    <t>Needed</t>
  </si>
  <si>
    <t>Machines</t>
  </si>
  <si>
    <t>Spend at most $1000 on at most 2 different tools in months 1 - 6</t>
  </si>
  <si>
    <t>Additional capacity, overhead up $300 each</t>
  </si>
  <si>
    <t>Less rework, scrap by 80%, identified at that station</t>
  </si>
  <si>
    <t>Purchased</t>
  </si>
  <si>
    <t>Scrap</t>
  </si>
  <si>
    <t>Reduce order costs to $50, reliability up to 98-99%</t>
  </si>
  <si>
    <t>drill - 3, paint - 2, sewing - 1</t>
  </si>
  <si>
    <t>drill - 3, paint - 1</t>
  </si>
  <si>
    <r>
      <rPr>
        <sz val="11"/>
        <rFont val="Arial"/>
        <family val="2"/>
      </rPr>
      <t>saw - 3,</t>
    </r>
    <r>
      <rPr>
        <sz val="11"/>
        <color rgb="FF00B050"/>
        <rFont val="Arial"/>
        <family val="2"/>
      </rPr>
      <t xml:space="preserve"> bend - 1, </t>
    </r>
    <r>
      <rPr>
        <sz val="11"/>
        <rFont val="Arial"/>
        <family val="2"/>
      </rPr>
      <t xml:space="preserve">welder- 2, </t>
    </r>
    <r>
      <rPr>
        <sz val="11"/>
        <color rgb="FF00B050"/>
        <rFont val="Arial"/>
        <family val="2"/>
      </rPr>
      <t>sew-3</t>
    </r>
  </si>
  <si>
    <t>drıll - 1, bend - 3, weld - 2, sewıng - 1</t>
  </si>
  <si>
    <t>weld - 3, assembly - 1</t>
  </si>
  <si>
    <r>
      <rPr>
        <sz val="11"/>
        <rFont val="Arial"/>
        <family val="2"/>
      </rPr>
      <t>drill - 2,</t>
    </r>
    <r>
      <rPr>
        <sz val="11"/>
        <color rgb="FF00B050"/>
        <rFont val="Arial"/>
        <family val="2"/>
      </rPr>
      <t xml:space="preserve"> welder - 4</t>
    </r>
  </si>
  <si>
    <t>saw - 2</t>
  </si>
  <si>
    <r>
      <rPr>
        <sz val="11"/>
        <rFont val="Arial"/>
        <family val="2"/>
      </rPr>
      <t>welder - 3,</t>
    </r>
    <r>
      <rPr>
        <sz val="11"/>
        <color rgb="FF00B050"/>
        <rFont val="Arial"/>
        <family val="2"/>
      </rPr>
      <t xml:space="preserve"> </t>
    </r>
    <r>
      <rPr>
        <sz val="11"/>
        <color rgb="FFFF0000"/>
        <rFont val="Arial"/>
        <family val="2"/>
      </rPr>
      <t>paint - 1</t>
    </r>
  </si>
  <si>
    <t>Overhead down $500, efficiency down 3%</t>
  </si>
  <si>
    <t>No travel time in cell, overhead down $700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</si>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</sst>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"/>
    <numFmt numFmtId="166" formatCode="0.0"/>
    <numFmt numFmtId="167" formatCode="[$$-409]#,##0.00"/>
    <numFmt numFmtId="168" formatCode="[$$-409]#,##0"/>
    <numFmt numFmtId="169" formatCode="0.0%"/>
  </numFmts>
  <fonts count="21" x14ac:knownFonts="1">
    <font>
      <sz val="11"/>
      <color theme="1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sz val="11"/>
      <color rgb="FF0070C0"/>
      <name val="Arial"/>
      <family val="2"/>
    </font>
    <font>
      <b/>
      <u/>
      <sz val="11"/>
      <color theme="1"/>
      <name val="Arial"/>
      <family val="2"/>
    </font>
    <font>
      <b/>
      <sz val="11"/>
      <color rgb="FF00B050"/>
      <name val="Arial"/>
      <family val="2"/>
    </font>
    <font>
      <sz val="11"/>
      <color rgb="FF00B050"/>
      <name val="Arial"/>
      <family val="2"/>
    </font>
    <font>
      <b/>
      <sz val="14"/>
      <color theme="1"/>
      <name val="Arial"/>
      <family val="2"/>
    </font>
    <font>
      <b/>
      <sz val="14"/>
      <color rgb="FF00B050"/>
      <name val="Arial"/>
      <family val="2"/>
    </font>
    <font>
      <sz val="11"/>
      <color rgb="FFFFFF00"/>
      <name val="Arial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b/>
      <sz val="11"/>
      <color theme="5"/>
      <name val="Arial"/>
      <family val="2"/>
    </font>
    <font>
      <b/>
      <sz val="11"/>
      <color rgb="FFFF0000"/>
      <name val="Arial"/>
      <family val="2"/>
    </font>
    <font>
      <b/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71">
    <xf numFmtId="0" fontId="0" fillId="0" borderId="0" xfId="0"/>
    <xf numFmtId="0" fontId="3" fillId="0" borderId="0" xfId="0" applyFont="1"/>
    <xf numFmtId="0" fontId="5" fillId="0" borderId="0" xfId="0" applyFont="1"/>
    <xf numFmtId="0" fontId="0" fillId="0" borderId="1" xfId="0" applyBorder="1"/>
    <xf numFmtId="0" fontId="0" fillId="0" borderId="0" xfId="0" quotePrefix="1"/>
    <xf numFmtId="0" fontId="0" fillId="0" borderId="1" xfId="0" applyFill="1" applyBorder="1"/>
    <xf numFmtId="9" fontId="0" fillId="0" borderId="0" xfId="0" applyNumberFormat="1"/>
    <xf numFmtId="0" fontId="4" fillId="0" borderId="0" xfId="0" applyFont="1"/>
    <xf numFmtId="0" fontId="6" fillId="0" borderId="0" xfId="0" applyFont="1"/>
    <xf numFmtId="0" fontId="1" fillId="0" borderId="0" xfId="0" applyFont="1"/>
    <xf numFmtId="6" fontId="0" fillId="0" borderId="0" xfId="0" applyNumberFormat="1"/>
    <xf numFmtId="44" fontId="2" fillId="0" borderId="0" xfId="1" applyFont="1"/>
    <xf numFmtId="0" fontId="0" fillId="0" borderId="1" xfId="0" applyFont="1" applyBorder="1"/>
    <xf numFmtId="0" fontId="0" fillId="0" borderId="0" xfId="0" applyFont="1" applyFill="1" applyBorder="1"/>
    <xf numFmtId="0" fontId="3" fillId="0" borderId="1" xfId="0" applyFont="1" applyBorder="1"/>
    <xf numFmtId="0" fontId="7" fillId="0" borderId="0" xfId="0" applyFont="1"/>
    <xf numFmtId="8" fontId="0" fillId="0" borderId="0" xfId="0" applyNumberFormat="1"/>
    <xf numFmtId="0" fontId="8" fillId="0" borderId="0" xfId="0" applyFont="1"/>
    <xf numFmtId="164" fontId="2" fillId="0" borderId="0" xfId="1" applyNumberFormat="1" applyFont="1"/>
    <xf numFmtId="164" fontId="3" fillId="0" borderId="0" xfId="1" applyNumberFormat="1" applyFont="1"/>
    <xf numFmtId="0" fontId="0" fillId="0" borderId="0" xfId="0" applyNumberFormat="1"/>
    <xf numFmtId="0" fontId="9" fillId="0" borderId="0" xfId="0" applyFont="1"/>
    <xf numFmtId="0" fontId="0" fillId="0" borderId="0" xfId="0" applyFill="1" applyBorder="1"/>
    <xf numFmtId="165" fontId="0" fillId="0" borderId="0" xfId="0" applyNumberFormat="1"/>
    <xf numFmtId="167" fontId="0" fillId="0" borderId="0" xfId="0" applyNumberFormat="1"/>
    <xf numFmtId="168" fontId="0" fillId="0" borderId="0" xfId="0" applyNumberFormat="1"/>
    <xf numFmtId="168" fontId="3" fillId="0" borderId="0" xfId="0" applyNumberFormat="1" applyFont="1"/>
    <xf numFmtId="0" fontId="0" fillId="0" borderId="0" xfId="0" applyFill="1"/>
    <xf numFmtId="0" fontId="3" fillId="0" borderId="0" xfId="0" applyNumberFormat="1" applyFont="1"/>
    <xf numFmtId="168" fontId="0" fillId="0" borderId="0" xfId="0" applyNumberFormat="1" applyFill="1"/>
    <xf numFmtId="9" fontId="0" fillId="0" borderId="0" xfId="0" applyNumberFormat="1" applyFill="1"/>
    <xf numFmtId="6" fontId="0" fillId="0" borderId="0" xfId="0" applyNumberFormat="1" applyFill="1"/>
    <xf numFmtId="0" fontId="10" fillId="0" borderId="0" xfId="0" applyFont="1"/>
    <xf numFmtId="0" fontId="11" fillId="0" borderId="0" xfId="0" applyFont="1"/>
    <xf numFmtId="0" fontId="0" fillId="0" borderId="2" xfId="0" applyBorder="1"/>
    <xf numFmtId="0" fontId="12" fillId="0" borderId="0" xfId="0" applyFont="1"/>
    <xf numFmtId="0" fontId="13" fillId="0" borderId="0" xfId="0" applyFont="1"/>
    <xf numFmtId="0" fontId="14" fillId="0" borderId="0" xfId="0" applyFont="1"/>
    <xf numFmtId="2" fontId="0" fillId="0" borderId="0" xfId="0" applyNumberFormat="1"/>
    <xf numFmtId="0" fontId="0" fillId="2" borderId="0" xfId="0" applyFill="1"/>
    <xf numFmtId="0" fontId="0" fillId="0" borderId="0" xfId="0" applyBorder="1"/>
    <xf numFmtId="166" fontId="0" fillId="0" borderId="0" xfId="0" applyNumberFormat="1" applyBorder="1"/>
    <xf numFmtId="0" fontId="3" fillId="0" borderId="0" xfId="0" applyFont="1" applyAlignment="1">
      <alignment horizontal="left"/>
    </xf>
    <xf numFmtId="169" fontId="0" fillId="0" borderId="0" xfId="0" applyNumberFormat="1"/>
    <xf numFmtId="0" fontId="15" fillId="0" borderId="0" xfId="0" applyFont="1"/>
    <xf numFmtId="1" fontId="0" fillId="0" borderId="0" xfId="0" applyNumberFormat="1" applyFill="1"/>
    <xf numFmtId="0" fontId="0" fillId="0" borderId="3" xfId="0" applyBorder="1"/>
    <xf numFmtId="0" fontId="0" fillId="0" borderId="4" xfId="0" applyBorder="1"/>
    <xf numFmtId="0" fontId="0" fillId="0" borderId="5" xfId="0" applyFill="1" applyBorder="1"/>
    <xf numFmtId="0" fontId="0" fillId="0" borderId="6" xfId="0" applyBorder="1"/>
    <xf numFmtId="0" fontId="0" fillId="0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68" fontId="16" fillId="0" borderId="0" xfId="0" applyNumberFormat="1" applyFont="1"/>
    <xf numFmtId="164" fontId="0" fillId="0" borderId="0" xfId="1" applyNumberFormat="1" applyFont="1"/>
    <xf numFmtId="164" fontId="0" fillId="0" borderId="0" xfId="1" applyNumberFormat="1" applyFont="1" applyBorder="1"/>
    <xf numFmtId="168" fontId="11" fillId="0" borderId="11" xfId="0" applyNumberFormat="1" applyFont="1" applyBorder="1"/>
    <xf numFmtId="166" fontId="0" fillId="0" borderId="0" xfId="0" applyNumberFormat="1" applyFill="1"/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20" fillId="0" borderId="0" xfId="0" applyFont="1"/>
    <xf numFmtId="0" fontId="20" fillId="0" borderId="0" xfId="0" applyFont="1" applyFill="1" applyBorder="1"/>
    <xf numFmtId="2" fontId="20" fillId="0" borderId="0" xfId="0" applyNumberFormat="1" applyFont="1"/>
    <xf numFmtId="0" fontId="20" fillId="0" borderId="0" xfId="0" applyFont="1" applyFill="1"/>
    <xf numFmtId="165" fontId="20" fillId="0" borderId="0" xfId="0" applyNumberFormat="1" applyFont="1"/>
    <xf numFmtId="1" fontId="20" fillId="0" borderId="0" xfId="0" applyNumberFormat="1" applyFont="1"/>
    <xf numFmtId="1" fontId="20" fillId="0" borderId="0" xfId="0" applyNumberFormat="1" applyFont="1" applyFill="1"/>
    <xf numFmtId="166" fontId="20" fillId="0" borderId="0" xfId="0" applyNumberFormat="1" applyFont="1"/>
    <xf numFmtId="0" fontId="20" fillId="0" borderId="0" xfId="0" applyFont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283482</xdr:colOff>
      <xdr:row>2</xdr:row>
      <xdr:rowOff>124731</xdr:rowOff>
    </xdr:from>
    <xdr:ext cx="3095625" cy="2914197"/>
    <xdr:sp macro="" textlink="">
      <xdr:nvSpPr>
        <xdr:cNvPr id="132" name="TextBox 131"/>
        <xdr:cNvSpPr txBox="1"/>
      </xdr:nvSpPr>
      <xdr:spPr>
        <a:xfrm>
          <a:off x="963839" y="487588"/>
          <a:ext cx="3095625" cy="29141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362857</xdr:colOff>
      <xdr:row>30</xdr:row>
      <xdr:rowOff>79373</xdr:rowOff>
    </xdr:from>
    <xdr:to>
      <xdr:col>10</xdr:col>
      <xdr:colOff>7708</xdr:colOff>
      <xdr:row>55</xdr:row>
      <xdr:rowOff>168047</xdr:rowOff>
    </xdr:to>
    <xdr:grpSp>
      <xdr:nvGrpSpPr>
        <xdr:cNvPr id="263" name="Group 262"/>
        <xdr:cNvGrpSpPr/>
      </xdr:nvGrpSpPr>
      <xdr:grpSpPr>
        <a:xfrm>
          <a:off x="362857" y="5590266"/>
          <a:ext cx="6232976" cy="4624388"/>
          <a:chOff x="847725" y="1371599"/>
          <a:chExt cx="6448422" cy="4624388"/>
        </a:xfrm>
      </xdr:grpSpPr>
      <xdr:grpSp>
        <xdr:nvGrpSpPr>
          <xdr:cNvPr id="264" name="Group 263"/>
          <xdr:cNvGrpSpPr/>
        </xdr:nvGrpSpPr>
        <xdr:grpSpPr>
          <a:xfrm>
            <a:off x="1981200" y="1371599"/>
            <a:ext cx="1143001" cy="2776536"/>
            <a:chOff x="1981200" y="1371600"/>
            <a:chExt cx="1143001" cy="4867817"/>
          </a:xfrm>
        </xdr:grpSpPr>
        <xdr:sp macro="" textlink="">
          <xdr:nvSpPr>
            <xdr:cNvPr id="283" name="Arc 282"/>
            <xdr:cNvSpPr/>
          </xdr:nvSpPr>
          <xdr:spPr>
            <a:xfrm>
              <a:off x="1981200" y="1371600"/>
              <a:ext cx="1143000" cy="1219200"/>
            </a:xfrm>
            <a:prstGeom prst="arc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n-US"/>
            </a:p>
          </xdr:txBody>
        </xdr:sp>
        <xdr:cxnSp macro="">
          <xdr:nvCxnSpPr>
            <xdr:cNvPr id="284" name="Straight Connector 283"/>
            <xdr:cNvCxnSpPr/>
          </xdr:nvCxnSpPr>
          <xdr:spPr>
            <a:xfrm flipH="1">
              <a:off x="3114676" y="1981201"/>
              <a:ext cx="9525" cy="4258216"/>
            </a:xfrm>
            <a:prstGeom prst="line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65" name="Straight Connector 264"/>
          <xdr:cNvCxnSpPr/>
        </xdr:nvCxnSpPr>
        <xdr:spPr>
          <a:xfrm flipH="1" flipV="1">
            <a:off x="3148013" y="4043363"/>
            <a:ext cx="2185988" cy="4762"/>
          </a:xfrm>
          <a:prstGeom prst="line">
            <a:avLst/>
          </a:prstGeom>
          <a:ln w="76200" cmpd="dbl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266" name="Group 265"/>
          <xdr:cNvGrpSpPr/>
        </xdr:nvGrpSpPr>
        <xdr:grpSpPr>
          <a:xfrm>
            <a:off x="2286000" y="2590800"/>
            <a:ext cx="1766888" cy="1409700"/>
            <a:chOff x="2286000" y="2590800"/>
            <a:chExt cx="1766888" cy="1409700"/>
          </a:xfrm>
        </xdr:grpSpPr>
        <xdr:cxnSp macro="">
          <xdr:nvCxnSpPr>
            <xdr:cNvPr id="281" name="Straight Connector 280"/>
            <xdr:cNvCxnSpPr/>
          </xdr:nvCxnSpPr>
          <xdr:spPr>
            <a:xfrm>
              <a:off x="4038600" y="3200400"/>
              <a:ext cx="14288" cy="800100"/>
            </a:xfrm>
            <a:prstGeom prst="line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82" name="Arc 281"/>
            <xdr:cNvSpPr/>
          </xdr:nvSpPr>
          <xdr:spPr>
            <a:xfrm>
              <a:off x="2286000" y="2590800"/>
              <a:ext cx="1752600" cy="1219200"/>
            </a:xfrm>
            <a:prstGeom prst="arc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n-US"/>
            </a:p>
          </xdr:txBody>
        </xdr:sp>
      </xdr:grpSp>
      <xdr:sp macro="" textlink="">
        <xdr:nvSpPr>
          <xdr:cNvPr id="267" name="TextBox 16"/>
          <xdr:cNvSpPr txBox="1">
            <a:spLocks noChangeArrowheads="1"/>
          </xdr:cNvSpPr>
        </xdr:nvSpPr>
        <xdr:spPr bwMode="auto">
          <a:xfrm>
            <a:off x="3352800" y="2171700"/>
            <a:ext cx="1217613" cy="36988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Outer tube</a:t>
            </a:r>
          </a:p>
        </xdr:txBody>
      </xdr:sp>
      <xdr:sp macro="" textlink="">
        <xdr:nvSpPr>
          <xdr:cNvPr id="268" name="TextBox 17"/>
          <xdr:cNvSpPr txBox="1">
            <a:spLocks noChangeArrowheads="1"/>
          </xdr:cNvSpPr>
        </xdr:nvSpPr>
        <xdr:spPr bwMode="auto">
          <a:xfrm>
            <a:off x="5531832" y="4167888"/>
            <a:ext cx="1387475" cy="36988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Caster barrel</a:t>
            </a:r>
          </a:p>
        </xdr:txBody>
      </xdr:sp>
      <xdr:sp macro="" textlink="">
        <xdr:nvSpPr>
          <xdr:cNvPr id="269" name="TextBox 18"/>
          <xdr:cNvSpPr txBox="1">
            <a:spLocks noChangeArrowheads="1"/>
          </xdr:cNvSpPr>
        </xdr:nvSpPr>
        <xdr:spPr bwMode="auto">
          <a:xfrm rot="16200000">
            <a:off x="3180556" y="3296444"/>
            <a:ext cx="1171575" cy="36988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Hand tube</a:t>
            </a:r>
          </a:p>
        </xdr:txBody>
      </xdr:sp>
      <xdr:sp macro="" textlink="">
        <xdr:nvSpPr>
          <xdr:cNvPr id="270" name="TextBox 19"/>
          <xdr:cNvSpPr txBox="1">
            <a:spLocks noChangeArrowheads="1"/>
          </xdr:cNvSpPr>
        </xdr:nvSpPr>
        <xdr:spPr bwMode="auto">
          <a:xfrm>
            <a:off x="4005263" y="3662362"/>
            <a:ext cx="1638300" cy="36988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Horizontal tube</a:t>
            </a:r>
          </a:p>
        </xdr:txBody>
      </xdr:sp>
      <xdr:sp macro="" textlink="">
        <xdr:nvSpPr>
          <xdr:cNvPr id="271" name="TextBox 20"/>
          <xdr:cNvSpPr txBox="1">
            <a:spLocks noChangeArrowheads="1"/>
          </xdr:cNvSpPr>
        </xdr:nvSpPr>
        <xdr:spPr bwMode="auto">
          <a:xfrm>
            <a:off x="3337944" y="4364013"/>
            <a:ext cx="1250950" cy="36988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Lower tube</a:t>
            </a:r>
          </a:p>
        </xdr:txBody>
      </xdr:sp>
      <xdr:sp macro="" textlink="">
        <xdr:nvSpPr>
          <xdr:cNvPr id="272" name="TextBox 21"/>
          <xdr:cNvSpPr txBox="1">
            <a:spLocks noChangeArrowheads="1"/>
          </xdr:cNvSpPr>
        </xdr:nvSpPr>
        <xdr:spPr bwMode="auto">
          <a:xfrm rot="16200000">
            <a:off x="2362200" y="3276600"/>
            <a:ext cx="1111250" cy="3683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Back tube</a:t>
            </a:r>
          </a:p>
        </xdr:txBody>
      </xdr:sp>
      <xdr:sp macro="" textlink="">
        <xdr:nvSpPr>
          <xdr:cNvPr id="273" name="TextBox 16"/>
          <xdr:cNvSpPr txBox="1"/>
        </xdr:nvSpPr>
        <xdr:spPr>
          <a:xfrm>
            <a:off x="3699681" y="1379561"/>
            <a:ext cx="248016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 b="1"/>
              <a:t>Side frame assembly</a:t>
            </a:r>
          </a:p>
        </xdr:txBody>
      </xdr:sp>
      <xdr:sp macro="" textlink="">
        <xdr:nvSpPr>
          <xdr:cNvPr id="274" name="Rectangle 273"/>
          <xdr:cNvSpPr/>
        </xdr:nvSpPr>
        <xdr:spPr>
          <a:xfrm>
            <a:off x="6329363" y="4581525"/>
            <a:ext cx="228600" cy="304800"/>
          </a:xfrm>
          <a:prstGeom prst="rect">
            <a:avLst/>
          </a:prstGeom>
          <a:solidFill>
            <a:schemeClr val="bg1"/>
          </a:solidFill>
          <a:ln w="38100" cmpd="sng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fontAlgn="auto">
              <a:spcBef>
                <a:spcPts val="0"/>
              </a:spcBef>
              <a:spcAft>
                <a:spcPts val="0"/>
              </a:spcAft>
              <a:defRPr/>
            </a:pPr>
            <a:endParaRPr lang="en-US"/>
          </a:p>
        </xdr:txBody>
      </xdr:sp>
      <xdr:grpSp>
        <xdr:nvGrpSpPr>
          <xdr:cNvPr id="275" name="Group 274"/>
          <xdr:cNvGrpSpPr/>
        </xdr:nvGrpSpPr>
        <xdr:grpSpPr>
          <a:xfrm>
            <a:off x="3159441" y="4084320"/>
            <a:ext cx="3184207" cy="726758"/>
            <a:chOff x="3159442" y="4084320"/>
            <a:chExt cx="2555557" cy="726758"/>
          </a:xfrm>
        </xdr:grpSpPr>
        <xdr:sp macro="" textlink="">
          <xdr:nvSpPr>
            <xdr:cNvPr id="279" name="Freeform 278"/>
            <xdr:cNvSpPr/>
          </xdr:nvSpPr>
          <xdr:spPr>
            <a:xfrm rot="10800000" flipV="1">
              <a:off x="4434839" y="4445318"/>
              <a:ext cx="1280160" cy="365760"/>
            </a:xfrm>
            <a:custGeom>
              <a:avLst/>
              <a:gdLst>
                <a:gd name="connsiteX0" fmla="*/ 2688609 w 2688609"/>
                <a:gd name="connsiteY0" fmla="*/ 0 h 855261"/>
                <a:gd name="connsiteX1" fmla="*/ 900753 w 2688609"/>
                <a:gd name="connsiteY1" fmla="*/ 723332 h 855261"/>
                <a:gd name="connsiteX2" fmla="*/ 0 w 2688609"/>
                <a:gd name="connsiteY2" fmla="*/ 791571 h 855261"/>
                <a:gd name="connsiteX3" fmla="*/ 0 w 2688609"/>
                <a:gd name="connsiteY3" fmla="*/ 791571 h 85526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688609" h="855261">
                  <a:moveTo>
                    <a:pt x="2688609" y="0"/>
                  </a:moveTo>
                  <a:cubicBezTo>
                    <a:pt x="2018732" y="295702"/>
                    <a:pt x="1348855" y="591404"/>
                    <a:pt x="900753" y="723332"/>
                  </a:cubicBezTo>
                  <a:cubicBezTo>
                    <a:pt x="452652" y="855261"/>
                    <a:pt x="0" y="791571"/>
                    <a:pt x="0" y="791571"/>
                  </a:cubicBezTo>
                  <a:lnTo>
                    <a:pt x="0" y="791571"/>
                  </a:lnTo>
                </a:path>
              </a:pathLst>
            </a:custGeom>
            <a:ln w="76200" cmpd="dbl">
              <a:solidFill>
                <a:schemeClr val="accent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n-US"/>
            </a:p>
          </xdr:txBody>
        </xdr:sp>
        <xdr:sp macro="" textlink="">
          <xdr:nvSpPr>
            <xdr:cNvPr id="280" name="Freeform 279"/>
            <xdr:cNvSpPr/>
          </xdr:nvSpPr>
          <xdr:spPr>
            <a:xfrm rot="10800000" flipH="1">
              <a:off x="3159442" y="4084320"/>
              <a:ext cx="1280160" cy="365760"/>
            </a:xfrm>
            <a:custGeom>
              <a:avLst/>
              <a:gdLst>
                <a:gd name="connsiteX0" fmla="*/ 2688609 w 2688609"/>
                <a:gd name="connsiteY0" fmla="*/ 0 h 855261"/>
                <a:gd name="connsiteX1" fmla="*/ 900753 w 2688609"/>
                <a:gd name="connsiteY1" fmla="*/ 723332 h 855261"/>
                <a:gd name="connsiteX2" fmla="*/ 0 w 2688609"/>
                <a:gd name="connsiteY2" fmla="*/ 791571 h 855261"/>
                <a:gd name="connsiteX3" fmla="*/ 0 w 2688609"/>
                <a:gd name="connsiteY3" fmla="*/ 791571 h 85526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688609" h="855261">
                  <a:moveTo>
                    <a:pt x="2688609" y="0"/>
                  </a:moveTo>
                  <a:cubicBezTo>
                    <a:pt x="2018732" y="295702"/>
                    <a:pt x="1348855" y="591404"/>
                    <a:pt x="900753" y="723332"/>
                  </a:cubicBezTo>
                  <a:cubicBezTo>
                    <a:pt x="452652" y="855261"/>
                    <a:pt x="0" y="791571"/>
                    <a:pt x="0" y="791571"/>
                  </a:cubicBezTo>
                  <a:lnTo>
                    <a:pt x="0" y="791571"/>
                  </a:lnTo>
                </a:path>
              </a:pathLst>
            </a:custGeom>
            <a:ln w="76200" cmpd="dbl">
              <a:solidFill>
                <a:schemeClr val="accent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n-US"/>
            </a:p>
          </xdr:txBody>
        </xdr:sp>
      </xdr:grpSp>
      <xdr:grpSp>
        <xdr:nvGrpSpPr>
          <xdr:cNvPr id="276" name="Group 275"/>
          <xdr:cNvGrpSpPr/>
        </xdr:nvGrpSpPr>
        <xdr:grpSpPr>
          <a:xfrm>
            <a:off x="847725" y="1866900"/>
            <a:ext cx="6448422" cy="4129087"/>
            <a:chOff x="847725" y="1866900"/>
            <a:chExt cx="6448422" cy="4129087"/>
          </a:xfrm>
        </xdr:grpSpPr>
        <xdr:sp macro="" textlink="">
          <xdr:nvSpPr>
            <xdr:cNvPr id="277" name="Arc 276"/>
            <xdr:cNvSpPr/>
          </xdr:nvSpPr>
          <xdr:spPr>
            <a:xfrm>
              <a:off x="847725" y="1866900"/>
              <a:ext cx="4524375" cy="4129087"/>
            </a:xfrm>
            <a:prstGeom prst="arc">
              <a:avLst>
                <a:gd name="adj1" fmla="val 16200000"/>
                <a:gd name="adj2" fmla="val 93724"/>
              </a:avLst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n-US"/>
            </a:p>
          </xdr:txBody>
        </xdr:sp>
        <xdr:sp macro="" textlink="">
          <xdr:nvSpPr>
            <xdr:cNvPr id="278" name="Arc 277"/>
            <xdr:cNvSpPr/>
          </xdr:nvSpPr>
          <xdr:spPr>
            <a:xfrm flipH="1" flipV="1">
              <a:off x="5372096" y="3348036"/>
              <a:ext cx="1924051" cy="1333497"/>
            </a:xfrm>
            <a:prstGeom prst="arc">
              <a:avLst>
                <a:gd name="adj1" fmla="val 16200000"/>
                <a:gd name="adj2" fmla="val 93724"/>
              </a:avLst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n-US"/>
            </a:p>
          </xdr:txBody>
        </xdr:sp>
      </xdr:grpSp>
    </xdr:grpSp>
    <xdr:clientData/>
  </xdr:twoCellAnchor>
  <xdr:twoCellAnchor>
    <xdr:from>
      <xdr:col>2</xdr:col>
      <xdr:colOff>102054</xdr:colOff>
      <xdr:row>51</xdr:row>
      <xdr:rowOff>68036</xdr:rowOff>
    </xdr:from>
    <xdr:to>
      <xdr:col>5</xdr:col>
      <xdr:colOff>650156</xdr:colOff>
      <xdr:row>65</xdr:row>
      <xdr:rowOff>42636</xdr:rowOff>
    </xdr:to>
    <xdr:grpSp>
      <xdr:nvGrpSpPr>
        <xdr:cNvPr id="285" name="Group 284"/>
        <xdr:cNvGrpSpPr/>
      </xdr:nvGrpSpPr>
      <xdr:grpSpPr>
        <a:xfrm>
          <a:off x="1247322" y="9388929"/>
          <a:ext cx="2589173" cy="2514600"/>
          <a:chOff x="2733159" y="1600200"/>
          <a:chExt cx="2589174" cy="2514600"/>
        </a:xfrm>
      </xdr:grpSpPr>
      <xdr:cxnSp macro="">
        <xdr:nvCxnSpPr>
          <xdr:cNvPr id="286" name="Straight Connector 285"/>
          <xdr:cNvCxnSpPr/>
        </xdr:nvCxnSpPr>
        <xdr:spPr>
          <a:xfrm>
            <a:off x="3124200" y="1981200"/>
            <a:ext cx="0" cy="2133600"/>
          </a:xfrm>
          <a:prstGeom prst="line">
            <a:avLst/>
          </a:prstGeom>
          <a:ln w="76200" cmpd="dbl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7" name="Straight Connector 286"/>
          <xdr:cNvCxnSpPr/>
        </xdr:nvCxnSpPr>
        <xdr:spPr>
          <a:xfrm flipH="1" flipV="1">
            <a:off x="3152776" y="3043238"/>
            <a:ext cx="1704974" cy="4762"/>
          </a:xfrm>
          <a:prstGeom prst="line">
            <a:avLst/>
          </a:prstGeom>
          <a:ln w="76200" cmpd="dbl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Straight Connector 287"/>
          <xdr:cNvCxnSpPr/>
        </xdr:nvCxnSpPr>
        <xdr:spPr>
          <a:xfrm>
            <a:off x="4876800" y="2514600"/>
            <a:ext cx="0" cy="1066800"/>
          </a:xfrm>
          <a:prstGeom prst="line">
            <a:avLst/>
          </a:prstGeom>
          <a:ln w="76200" cmpd="dbl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9" name="TextBox 18"/>
          <xdr:cNvSpPr txBox="1">
            <a:spLocks noChangeArrowheads="1"/>
          </xdr:cNvSpPr>
        </xdr:nvSpPr>
        <xdr:spPr bwMode="auto">
          <a:xfrm rot="16200000">
            <a:off x="4550262" y="2917339"/>
            <a:ext cx="1174809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Cross tube</a:t>
            </a:r>
          </a:p>
        </xdr:txBody>
      </xdr:sp>
      <xdr:sp macro="" textlink="">
        <xdr:nvSpPr>
          <xdr:cNvPr id="290" name="TextBox 19"/>
          <xdr:cNvSpPr txBox="1">
            <a:spLocks noChangeArrowheads="1"/>
          </xdr:cNvSpPr>
        </xdr:nvSpPr>
        <xdr:spPr bwMode="auto">
          <a:xfrm>
            <a:off x="3124200" y="3048000"/>
            <a:ext cx="1736373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Connecting tube</a:t>
            </a:r>
          </a:p>
        </xdr:txBody>
      </xdr:sp>
      <xdr:sp macro="" textlink="">
        <xdr:nvSpPr>
          <xdr:cNvPr id="291" name="TextBox 21"/>
          <xdr:cNvSpPr txBox="1">
            <a:spLocks noChangeArrowheads="1"/>
          </xdr:cNvSpPr>
        </xdr:nvSpPr>
        <xdr:spPr bwMode="auto">
          <a:xfrm rot="16200000">
            <a:off x="2377709" y="3276084"/>
            <a:ext cx="1080232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Seat tube</a:t>
            </a:r>
          </a:p>
        </xdr:txBody>
      </xdr:sp>
      <xdr:sp macro="" textlink="">
        <xdr:nvSpPr>
          <xdr:cNvPr id="292" name="TextBox 16"/>
          <xdr:cNvSpPr txBox="1"/>
        </xdr:nvSpPr>
        <xdr:spPr>
          <a:xfrm>
            <a:off x="2971800" y="1600200"/>
            <a:ext cx="2133918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 b="1"/>
              <a:t>Folding assembly</a:t>
            </a:r>
          </a:p>
        </xdr:txBody>
      </xdr:sp>
    </xdr:grpSp>
    <xdr:clientData/>
  </xdr:twoCellAnchor>
  <xdr:twoCellAnchor>
    <xdr:from>
      <xdr:col>1</xdr:col>
      <xdr:colOff>249464</xdr:colOff>
      <xdr:row>67</xdr:row>
      <xdr:rowOff>170089</xdr:rowOff>
    </xdr:from>
    <xdr:to>
      <xdr:col>5</xdr:col>
      <xdr:colOff>123617</xdr:colOff>
      <xdr:row>78</xdr:row>
      <xdr:rowOff>128411</xdr:rowOff>
    </xdr:to>
    <xdr:grpSp>
      <xdr:nvGrpSpPr>
        <xdr:cNvPr id="293" name="Group 292"/>
        <xdr:cNvGrpSpPr/>
      </xdr:nvGrpSpPr>
      <xdr:grpSpPr>
        <a:xfrm>
          <a:off x="714375" y="12393839"/>
          <a:ext cx="2595581" cy="1954036"/>
          <a:chOff x="2971800" y="1600200"/>
          <a:chExt cx="2595582" cy="1954037"/>
        </a:xfrm>
      </xdr:grpSpPr>
      <xdr:cxnSp macro="">
        <xdr:nvCxnSpPr>
          <xdr:cNvPr id="294" name="Straight Connector 293"/>
          <xdr:cNvCxnSpPr/>
        </xdr:nvCxnSpPr>
        <xdr:spPr>
          <a:xfrm>
            <a:off x="3409950" y="2486025"/>
            <a:ext cx="0" cy="280988"/>
          </a:xfrm>
          <a:prstGeom prst="line">
            <a:avLst/>
          </a:prstGeom>
          <a:ln w="76200" cmpd="dbl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5" name="TextBox 19"/>
          <xdr:cNvSpPr txBox="1">
            <a:spLocks noChangeArrowheads="1"/>
          </xdr:cNvSpPr>
        </xdr:nvSpPr>
        <xdr:spPr bwMode="auto">
          <a:xfrm>
            <a:off x="3455941" y="2286142"/>
            <a:ext cx="1200650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Caster fork</a:t>
            </a:r>
          </a:p>
        </xdr:txBody>
      </xdr:sp>
      <xdr:sp macro="" textlink="">
        <xdr:nvSpPr>
          <xdr:cNvPr id="296" name="TextBox 21"/>
          <xdr:cNvSpPr txBox="1">
            <a:spLocks noChangeArrowheads="1"/>
          </xdr:cNvSpPr>
        </xdr:nvSpPr>
        <xdr:spPr bwMode="auto">
          <a:xfrm rot="16200000">
            <a:off x="2549857" y="2674040"/>
            <a:ext cx="1264833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Caster tube</a:t>
            </a:r>
          </a:p>
        </xdr:txBody>
      </xdr:sp>
      <xdr:sp macro="" textlink="">
        <xdr:nvSpPr>
          <xdr:cNvPr id="297" name="TextBox 16"/>
          <xdr:cNvSpPr txBox="1"/>
        </xdr:nvSpPr>
        <xdr:spPr>
          <a:xfrm>
            <a:off x="2971800" y="1600200"/>
            <a:ext cx="2595582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 b="1"/>
              <a:t>Front wheel assembly</a:t>
            </a:r>
          </a:p>
        </xdr:txBody>
      </xdr:sp>
      <xdr:grpSp>
        <xdr:nvGrpSpPr>
          <xdr:cNvPr id="298" name="Group 297"/>
          <xdr:cNvGrpSpPr/>
        </xdr:nvGrpSpPr>
        <xdr:grpSpPr>
          <a:xfrm rot="10800000">
            <a:off x="3686175" y="2667000"/>
            <a:ext cx="685800" cy="688848"/>
            <a:chOff x="3733800" y="2590800"/>
            <a:chExt cx="685800" cy="688848"/>
          </a:xfrm>
        </xdr:grpSpPr>
        <xdr:sp macro="" textlink="">
          <xdr:nvSpPr>
            <xdr:cNvPr id="305" name="Oval 304"/>
            <xdr:cNvSpPr/>
          </xdr:nvSpPr>
          <xdr:spPr>
            <a:xfrm>
              <a:off x="3962400" y="2667000"/>
              <a:ext cx="457200" cy="533400"/>
            </a:xfrm>
            <a:prstGeom prst="ellipse">
              <a:avLst/>
            </a:prstGeom>
            <a:solidFill>
              <a:schemeClr val="tx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6" name="Arc 305"/>
            <xdr:cNvSpPr/>
          </xdr:nvSpPr>
          <xdr:spPr>
            <a:xfrm rot="10800000">
              <a:off x="3733800" y="2590800"/>
              <a:ext cx="381000" cy="609600"/>
            </a:xfrm>
            <a:prstGeom prst="arc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7" name="Arc 306"/>
            <xdr:cNvSpPr/>
          </xdr:nvSpPr>
          <xdr:spPr>
            <a:xfrm rot="16200000">
              <a:off x="3619500" y="2781300"/>
              <a:ext cx="612648" cy="384048"/>
            </a:xfrm>
            <a:prstGeom prst="arc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cxnSp macro="">
          <xdr:nvCxnSpPr>
            <xdr:cNvPr id="308" name="Straight Connector 307"/>
            <xdr:cNvCxnSpPr>
              <a:stCxn id="307" idx="2"/>
              <a:endCxn id="305" idx="0"/>
            </xdr:cNvCxnSpPr>
          </xdr:nvCxnSpPr>
          <xdr:spPr>
            <a:xfrm rot="10800000" flipH="1">
              <a:off x="3925824" y="2667000"/>
              <a:ext cx="265176" cy="0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9" name="Straight Connector 308"/>
            <xdr:cNvCxnSpPr/>
          </xdr:nvCxnSpPr>
          <xdr:spPr>
            <a:xfrm rot="10800000" flipH="1">
              <a:off x="3886200" y="3200400"/>
              <a:ext cx="265176" cy="0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9" name="TextBox 19"/>
          <xdr:cNvSpPr txBox="1">
            <a:spLocks noChangeArrowheads="1"/>
          </xdr:cNvSpPr>
        </xdr:nvSpPr>
        <xdr:spPr bwMode="auto">
          <a:xfrm>
            <a:off x="3329841" y="3184905"/>
            <a:ext cx="1399486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Caster wheel</a:t>
            </a:r>
          </a:p>
        </xdr:txBody>
      </xdr:sp>
      <xdr:grpSp>
        <xdr:nvGrpSpPr>
          <xdr:cNvPr id="300" name="Group 299"/>
          <xdr:cNvGrpSpPr/>
        </xdr:nvGrpSpPr>
        <xdr:grpSpPr>
          <a:xfrm>
            <a:off x="3418866" y="2720943"/>
            <a:ext cx="486385" cy="322295"/>
            <a:chOff x="3418866" y="2720943"/>
            <a:chExt cx="486385" cy="322295"/>
          </a:xfrm>
        </xdr:grpSpPr>
        <xdr:cxnSp macro="">
          <xdr:nvCxnSpPr>
            <xdr:cNvPr id="301" name="Straight Connector 300"/>
            <xdr:cNvCxnSpPr/>
          </xdr:nvCxnSpPr>
          <xdr:spPr>
            <a:xfrm flipH="1" flipV="1">
              <a:off x="3504486" y="2900364"/>
              <a:ext cx="400765" cy="142874"/>
            </a:xfrm>
            <a:prstGeom prst="line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2" name="Arc 301"/>
            <xdr:cNvSpPr/>
          </xdr:nvSpPr>
          <xdr:spPr>
            <a:xfrm rot="17400000">
              <a:off x="3442608" y="2708721"/>
              <a:ext cx="189431" cy="236915"/>
            </a:xfrm>
            <a:prstGeom prst="arc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n-US"/>
            </a:p>
          </xdr:txBody>
        </xdr:sp>
        <xdr:cxnSp macro="">
          <xdr:nvCxnSpPr>
            <xdr:cNvPr id="303" name="Straight Connector 302"/>
            <xdr:cNvCxnSpPr>
              <a:stCxn id="305" idx="5"/>
            </xdr:cNvCxnSpPr>
          </xdr:nvCxnSpPr>
          <xdr:spPr>
            <a:xfrm flipH="1" flipV="1">
              <a:off x="3560010" y="2738439"/>
              <a:ext cx="193120" cy="85924"/>
            </a:xfrm>
            <a:prstGeom prst="line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4" name="Arc 303"/>
            <xdr:cNvSpPr/>
          </xdr:nvSpPr>
          <xdr:spPr>
            <a:xfrm rot="12000000">
              <a:off x="3422375" y="2720943"/>
              <a:ext cx="234546" cy="182880"/>
            </a:xfrm>
            <a:prstGeom prst="arc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n-US"/>
            </a:p>
          </xdr:txBody>
        </xdr:sp>
      </xdr:grpSp>
    </xdr:grpSp>
    <xdr:clientData/>
  </xdr:twoCellAnchor>
  <xdr:twoCellAnchor>
    <xdr:from>
      <xdr:col>6</xdr:col>
      <xdr:colOff>385534</xdr:colOff>
      <xdr:row>54</xdr:row>
      <xdr:rowOff>34017</xdr:rowOff>
    </xdr:from>
    <xdr:to>
      <xdr:col>10</xdr:col>
      <xdr:colOff>283481</xdr:colOff>
      <xdr:row>65</xdr:row>
      <xdr:rowOff>113391</xdr:rowOff>
    </xdr:to>
    <xdr:grpSp>
      <xdr:nvGrpSpPr>
        <xdr:cNvPr id="310" name="Group 309"/>
        <xdr:cNvGrpSpPr/>
      </xdr:nvGrpSpPr>
      <xdr:grpSpPr>
        <a:xfrm>
          <a:off x="4252230" y="9899196"/>
          <a:ext cx="2619376" cy="2075088"/>
          <a:chOff x="2843212" y="1609725"/>
          <a:chExt cx="2287806" cy="1773062"/>
        </a:xfrm>
      </xdr:grpSpPr>
      <xdr:sp macro="" textlink="">
        <xdr:nvSpPr>
          <xdr:cNvPr id="311" name="Freeform 310"/>
          <xdr:cNvSpPr/>
        </xdr:nvSpPr>
        <xdr:spPr>
          <a:xfrm>
            <a:off x="3443288" y="2762250"/>
            <a:ext cx="557212" cy="219075"/>
          </a:xfrm>
          <a:custGeom>
            <a:avLst/>
            <a:gdLst>
              <a:gd name="connsiteX0" fmla="*/ 423862 w 557212"/>
              <a:gd name="connsiteY0" fmla="*/ 219075 h 219075"/>
              <a:gd name="connsiteX1" fmla="*/ 557212 w 557212"/>
              <a:gd name="connsiteY1" fmla="*/ 147638 h 219075"/>
              <a:gd name="connsiteX2" fmla="*/ 100012 w 557212"/>
              <a:gd name="connsiteY2" fmla="*/ 0 h 219075"/>
              <a:gd name="connsiteX3" fmla="*/ 28575 w 557212"/>
              <a:gd name="connsiteY3" fmla="*/ 4763 h 219075"/>
              <a:gd name="connsiteX4" fmla="*/ 0 w 557212"/>
              <a:gd name="connsiteY4" fmla="*/ 19050 h 219075"/>
              <a:gd name="connsiteX5" fmla="*/ 19050 w 557212"/>
              <a:gd name="connsiteY5" fmla="*/ 66675 h 219075"/>
              <a:gd name="connsiteX6" fmla="*/ 85725 w 557212"/>
              <a:gd name="connsiteY6" fmla="*/ 114300 h 219075"/>
              <a:gd name="connsiteX7" fmla="*/ 423862 w 557212"/>
              <a:gd name="connsiteY7" fmla="*/ 219075 h 219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557212" h="219075">
                <a:moveTo>
                  <a:pt x="423862" y="219075"/>
                </a:moveTo>
                <a:lnTo>
                  <a:pt x="557212" y="147638"/>
                </a:lnTo>
                <a:lnTo>
                  <a:pt x="100012" y="0"/>
                </a:lnTo>
                <a:lnTo>
                  <a:pt x="28575" y="4763"/>
                </a:lnTo>
                <a:lnTo>
                  <a:pt x="0" y="19050"/>
                </a:lnTo>
                <a:lnTo>
                  <a:pt x="19050" y="66675"/>
                </a:lnTo>
                <a:lnTo>
                  <a:pt x="85725" y="114300"/>
                </a:lnTo>
                <a:lnTo>
                  <a:pt x="423862" y="219075"/>
                </a:lnTo>
                <a:close/>
              </a:path>
            </a:pathLst>
          </a:cu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cxnSp macro="">
        <xdr:nvCxnSpPr>
          <xdr:cNvPr id="312" name="Straight Connector 311"/>
          <xdr:cNvCxnSpPr>
            <a:endCxn id="319" idx="0"/>
          </xdr:cNvCxnSpPr>
        </xdr:nvCxnSpPr>
        <xdr:spPr>
          <a:xfrm>
            <a:off x="3248025" y="2143125"/>
            <a:ext cx="160981" cy="636692"/>
          </a:xfrm>
          <a:prstGeom prst="line">
            <a:avLst/>
          </a:prstGeom>
          <a:ln w="76200" cmpd="dbl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3" name="TextBox 19"/>
          <xdr:cNvSpPr txBox="1">
            <a:spLocks noChangeArrowheads="1"/>
          </xdr:cNvSpPr>
        </xdr:nvSpPr>
        <xdr:spPr bwMode="auto">
          <a:xfrm>
            <a:off x="3513090" y="2419492"/>
            <a:ext cx="1143455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Plate tube</a:t>
            </a:r>
          </a:p>
        </xdr:txBody>
      </xdr:sp>
      <xdr:sp macro="" textlink="">
        <xdr:nvSpPr>
          <xdr:cNvPr id="314" name="TextBox 21"/>
          <xdr:cNvSpPr txBox="1">
            <a:spLocks noChangeArrowheads="1"/>
          </xdr:cNvSpPr>
        </xdr:nvSpPr>
        <xdr:spPr bwMode="auto">
          <a:xfrm rot="16200000">
            <a:off x="2417203" y="2502591"/>
            <a:ext cx="1311065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Mount tube</a:t>
            </a:r>
          </a:p>
        </xdr:txBody>
      </xdr:sp>
      <xdr:sp macro="" textlink="">
        <xdr:nvSpPr>
          <xdr:cNvPr id="315" name="TextBox 16"/>
          <xdr:cNvSpPr txBox="1"/>
        </xdr:nvSpPr>
        <xdr:spPr>
          <a:xfrm>
            <a:off x="2843212" y="1609725"/>
            <a:ext cx="228780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 b="1"/>
              <a:t>Footrest assembly</a:t>
            </a:r>
          </a:p>
        </xdr:txBody>
      </xdr:sp>
      <xdr:sp macro="" textlink="">
        <xdr:nvSpPr>
          <xdr:cNvPr id="316" name="TextBox 19"/>
          <xdr:cNvSpPr txBox="1">
            <a:spLocks noChangeArrowheads="1"/>
          </xdr:cNvSpPr>
        </xdr:nvSpPr>
        <xdr:spPr bwMode="auto">
          <a:xfrm>
            <a:off x="3210778" y="3013455"/>
            <a:ext cx="1490601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Footrest plate</a:t>
            </a:r>
          </a:p>
        </xdr:txBody>
      </xdr:sp>
      <xdr:grpSp>
        <xdr:nvGrpSpPr>
          <xdr:cNvPr id="317" name="Group 316"/>
          <xdr:cNvGrpSpPr/>
        </xdr:nvGrpSpPr>
        <xdr:grpSpPr>
          <a:xfrm>
            <a:off x="3399815" y="2725706"/>
            <a:ext cx="614973" cy="288958"/>
            <a:chOff x="3399815" y="2725706"/>
            <a:chExt cx="614973" cy="288958"/>
          </a:xfrm>
        </xdr:grpSpPr>
        <xdr:cxnSp macro="">
          <xdr:nvCxnSpPr>
            <xdr:cNvPr id="318" name="Straight Connector 317"/>
            <xdr:cNvCxnSpPr/>
          </xdr:nvCxnSpPr>
          <xdr:spPr>
            <a:xfrm flipH="1" flipV="1">
              <a:off x="3509964" y="2905127"/>
              <a:ext cx="357186" cy="109537"/>
            </a:xfrm>
            <a:prstGeom prst="line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19" name="Arc 318"/>
            <xdr:cNvSpPr/>
          </xdr:nvSpPr>
          <xdr:spPr>
            <a:xfrm rot="-4200000">
              <a:off x="3457499" y="2679541"/>
              <a:ext cx="189431" cy="304800"/>
            </a:xfrm>
            <a:prstGeom prst="arc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n-US"/>
            </a:p>
          </xdr:txBody>
        </xdr:sp>
        <xdr:cxnSp macro="">
          <xdr:nvCxnSpPr>
            <xdr:cNvPr id="320" name="Straight Connector 319"/>
            <xdr:cNvCxnSpPr/>
          </xdr:nvCxnSpPr>
          <xdr:spPr>
            <a:xfrm flipH="1" flipV="1">
              <a:off x="3581400" y="2743202"/>
              <a:ext cx="433388" cy="133349"/>
            </a:xfrm>
            <a:prstGeom prst="line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1" name="Arc 320"/>
            <xdr:cNvSpPr/>
          </xdr:nvSpPr>
          <xdr:spPr>
            <a:xfrm rot="12000000">
              <a:off x="3404330" y="2725706"/>
              <a:ext cx="301752" cy="182880"/>
            </a:xfrm>
            <a:prstGeom prst="arc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n-US"/>
            </a:p>
          </xdr:txBody>
        </xdr:sp>
      </xdr:grpSp>
    </xdr:grpSp>
    <xdr:clientData/>
  </xdr:twoCellAnchor>
  <xdr:twoCellAnchor>
    <xdr:from>
      <xdr:col>5</xdr:col>
      <xdr:colOff>566964</xdr:colOff>
      <xdr:row>67</xdr:row>
      <xdr:rowOff>147410</xdr:rowOff>
    </xdr:from>
    <xdr:to>
      <xdr:col>10</xdr:col>
      <xdr:colOff>240798</xdr:colOff>
      <xdr:row>86</xdr:row>
      <xdr:rowOff>111629</xdr:rowOff>
    </xdr:to>
    <xdr:grpSp>
      <xdr:nvGrpSpPr>
        <xdr:cNvPr id="322" name="Group 321"/>
        <xdr:cNvGrpSpPr/>
      </xdr:nvGrpSpPr>
      <xdr:grpSpPr>
        <a:xfrm>
          <a:off x="3753303" y="12371160"/>
          <a:ext cx="3075620" cy="3411362"/>
          <a:chOff x="2962275" y="1600200"/>
          <a:chExt cx="3075619" cy="3411362"/>
        </a:xfrm>
      </xdr:grpSpPr>
      <xdr:sp macro="" textlink="">
        <xdr:nvSpPr>
          <xdr:cNvPr id="323" name="TextBox 19"/>
          <xdr:cNvSpPr txBox="1">
            <a:spLocks noChangeArrowheads="1"/>
          </xdr:cNvSpPr>
        </xdr:nvSpPr>
        <xdr:spPr bwMode="auto">
          <a:xfrm>
            <a:off x="3755978" y="2829067"/>
            <a:ext cx="1053494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Hand rim</a:t>
            </a:r>
          </a:p>
        </xdr:txBody>
      </xdr:sp>
      <xdr:sp macro="" textlink="">
        <xdr:nvSpPr>
          <xdr:cNvPr id="324" name="TextBox 16"/>
          <xdr:cNvSpPr txBox="1"/>
        </xdr:nvSpPr>
        <xdr:spPr>
          <a:xfrm>
            <a:off x="2971800" y="1600200"/>
            <a:ext cx="2518638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 b="1"/>
              <a:t>Rear wheel assembly</a:t>
            </a:r>
          </a:p>
        </xdr:txBody>
      </xdr:sp>
      <xdr:sp macro="" textlink="">
        <xdr:nvSpPr>
          <xdr:cNvPr id="325" name="TextBox 19"/>
          <xdr:cNvSpPr txBox="1">
            <a:spLocks noChangeArrowheads="1"/>
          </xdr:cNvSpPr>
        </xdr:nvSpPr>
        <xdr:spPr bwMode="auto">
          <a:xfrm>
            <a:off x="4839553" y="4642230"/>
            <a:ext cx="1198341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Bike wheel</a:t>
            </a:r>
          </a:p>
        </xdr:txBody>
      </xdr:sp>
      <xdr:grpSp>
        <xdr:nvGrpSpPr>
          <xdr:cNvPr id="326" name="Group 325"/>
          <xdr:cNvGrpSpPr/>
        </xdr:nvGrpSpPr>
        <xdr:grpSpPr>
          <a:xfrm>
            <a:off x="2962275" y="2371724"/>
            <a:ext cx="2562225" cy="2560320"/>
            <a:chOff x="2962275" y="2371725"/>
            <a:chExt cx="2562225" cy="2486025"/>
          </a:xfrm>
        </xdr:grpSpPr>
        <xdr:sp macro="" textlink="">
          <xdr:nvSpPr>
            <xdr:cNvPr id="328" name="Donut 327"/>
            <xdr:cNvSpPr/>
          </xdr:nvSpPr>
          <xdr:spPr>
            <a:xfrm>
              <a:off x="2962275" y="2371725"/>
              <a:ext cx="2562225" cy="2486025"/>
            </a:xfrm>
            <a:prstGeom prst="donut">
              <a:avLst>
                <a:gd name="adj" fmla="val 4296"/>
              </a:avLst>
            </a:prstGeom>
            <a:solidFill>
              <a:schemeClr val="tx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29" name="Oval 328"/>
            <xdr:cNvSpPr/>
          </xdr:nvSpPr>
          <xdr:spPr>
            <a:xfrm>
              <a:off x="4143375" y="3524250"/>
              <a:ext cx="209550" cy="209550"/>
            </a:xfrm>
            <a:prstGeom prst="ellipse">
              <a:avLst/>
            </a:pr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cxnSp macro="">
          <xdr:nvCxnSpPr>
            <xdr:cNvPr id="330" name="Straight Connector 329"/>
            <xdr:cNvCxnSpPr>
              <a:stCxn id="329" idx="0"/>
            </xdr:cNvCxnSpPr>
          </xdr:nvCxnSpPr>
          <xdr:spPr>
            <a:xfrm flipV="1">
              <a:off x="4248150" y="2495551"/>
              <a:ext cx="9525" cy="1028698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1" name="Straight Connector 330"/>
            <xdr:cNvCxnSpPr/>
          </xdr:nvCxnSpPr>
          <xdr:spPr>
            <a:xfrm flipV="1">
              <a:off x="4314825" y="2790826"/>
              <a:ext cx="733425" cy="7524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2" name="Straight Connector 331"/>
            <xdr:cNvCxnSpPr>
              <a:stCxn id="329" idx="1"/>
            </xdr:cNvCxnSpPr>
          </xdr:nvCxnSpPr>
          <xdr:spPr>
            <a:xfrm flipH="1" flipV="1">
              <a:off x="3429001" y="2819400"/>
              <a:ext cx="745062" cy="735537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3" name="Straight Connector 332"/>
            <xdr:cNvCxnSpPr>
              <a:stCxn id="329" idx="2"/>
            </xdr:cNvCxnSpPr>
          </xdr:nvCxnSpPr>
          <xdr:spPr>
            <a:xfrm flipH="1" flipV="1">
              <a:off x="3076577" y="3609976"/>
              <a:ext cx="1066798" cy="19049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/>
            <xdr:cNvCxnSpPr/>
          </xdr:nvCxnSpPr>
          <xdr:spPr>
            <a:xfrm flipV="1">
              <a:off x="4229100" y="3695701"/>
              <a:ext cx="9525" cy="102870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5" name="Straight Connector 334"/>
            <xdr:cNvCxnSpPr>
              <a:endCxn id="329" idx="3"/>
            </xdr:cNvCxnSpPr>
          </xdr:nvCxnSpPr>
          <xdr:spPr>
            <a:xfrm flipV="1">
              <a:off x="3419475" y="3703111"/>
              <a:ext cx="754588" cy="668864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6" name="Straight Connector 335"/>
            <xdr:cNvCxnSpPr>
              <a:stCxn id="328" idx="5"/>
            </xdr:cNvCxnSpPr>
          </xdr:nvCxnSpPr>
          <xdr:spPr>
            <a:xfrm flipH="1" flipV="1">
              <a:off x="4324351" y="3714750"/>
              <a:ext cx="824920" cy="778931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7" name="Straight Connector 336"/>
            <xdr:cNvCxnSpPr>
              <a:stCxn id="328" idx="6"/>
              <a:endCxn id="329" idx="6"/>
            </xdr:cNvCxnSpPr>
          </xdr:nvCxnSpPr>
          <xdr:spPr>
            <a:xfrm flipH="1">
              <a:off x="4352925" y="3614738"/>
              <a:ext cx="1171575" cy="14287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8" name="Straight Connector 337"/>
            <xdr:cNvCxnSpPr/>
          </xdr:nvCxnSpPr>
          <xdr:spPr>
            <a:xfrm flipV="1">
              <a:off x="4286250" y="2543176"/>
              <a:ext cx="409575" cy="990601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9" name="Straight Connector 338"/>
            <xdr:cNvCxnSpPr/>
          </xdr:nvCxnSpPr>
          <xdr:spPr>
            <a:xfrm flipH="1">
              <a:off x="4362450" y="3200400"/>
              <a:ext cx="952500" cy="39052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/>
            <xdr:cNvCxnSpPr/>
          </xdr:nvCxnSpPr>
          <xdr:spPr>
            <a:xfrm flipH="1" flipV="1">
              <a:off x="4350812" y="3684062"/>
              <a:ext cx="1011764" cy="34501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1" name="Straight Connector 340"/>
            <xdr:cNvCxnSpPr/>
          </xdr:nvCxnSpPr>
          <xdr:spPr>
            <a:xfrm flipV="1">
              <a:off x="3790950" y="3743326"/>
              <a:ext cx="409575" cy="9048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2" name="Straight Connector 341"/>
            <xdr:cNvCxnSpPr/>
          </xdr:nvCxnSpPr>
          <xdr:spPr>
            <a:xfrm flipH="1" flipV="1">
              <a:off x="4295775" y="3724277"/>
              <a:ext cx="381000" cy="933449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3" name="Straight Connector 342"/>
            <xdr:cNvCxnSpPr/>
          </xdr:nvCxnSpPr>
          <xdr:spPr>
            <a:xfrm flipH="1" flipV="1">
              <a:off x="3829051" y="2562226"/>
              <a:ext cx="371475" cy="96202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4" name="Straight Connector 343"/>
            <xdr:cNvCxnSpPr/>
          </xdr:nvCxnSpPr>
          <xdr:spPr>
            <a:xfrm flipV="1">
              <a:off x="3181350" y="3676650"/>
              <a:ext cx="962025" cy="34290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5" name="Straight Connector 344"/>
            <xdr:cNvCxnSpPr/>
          </xdr:nvCxnSpPr>
          <xdr:spPr>
            <a:xfrm flipH="1" flipV="1">
              <a:off x="3171825" y="3162301"/>
              <a:ext cx="971550" cy="4095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7" name="Donut 326"/>
          <xdr:cNvSpPr/>
        </xdr:nvSpPr>
        <xdr:spPr>
          <a:xfrm>
            <a:off x="3343274" y="2733676"/>
            <a:ext cx="1828800" cy="1828800"/>
          </a:xfrm>
          <a:prstGeom prst="donut">
            <a:avLst>
              <a:gd name="adj" fmla="val 2675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0</xdr:col>
      <xdr:colOff>1</xdr:colOff>
      <xdr:row>2</xdr:row>
      <xdr:rowOff>124734</xdr:rowOff>
    </xdr:from>
    <xdr:to>
      <xdr:col>10</xdr:col>
      <xdr:colOff>589644</xdr:colOff>
      <xdr:row>30</xdr:row>
      <xdr:rowOff>34019</xdr:rowOff>
    </xdr:to>
    <xdr:grpSp>
      <xdr:nvGrpSpPr>
        <xdr:cNvPr id="346" name="Group 345"/>
        <xdr:cNvGrpSpPr/>
      </xdr:nvGrpSpPr>
      <xdr:grpSpPr>
        <a:xfrm>
          <a:off x="1" y="532948"/>
          <a:ext cx="7177768" cy="5011964"/>
          <a:chOff x="-171450" y="638175"/>
          <a:chExt cx="7810497" cy="5324395"/>
        </a:xfrm>
      </xdr:grpSpPr>
      <xdr:grpSp>
        <xdr:nvGrpSpPr>
          <xdr:cNvPr id="347" name="Group 346"/>
          <xdr:cNvGrpSpPr/>
        </xdr:nvGrpSpPr>
        <xdr:grpSpPr>
          <a:xfrm>
            <a:off x="2054983" y="1420929"/>
            <a:ext cx="3474720" cy="3474720"/>
            <a:chOff x="2962275" y="2371724"/>
            <a:chExt cx="2562225" cy="2560320"/>
          </a:xfrm>
          <a:scene3d>
            <a:camera prst="perspectiveHeroicExtremeLeftFacing"/>
            <a:lightRig rig="threePt" dir="t"/>
          </a:scene3d>
        </xdr:grpSpPr>
        <xdr:grpSp>
          <xdr:nvGrpSpPr>
            <xdr:cNvPr id="458" name="Group 457"/>
            <xdr:cNvGrpSpPr/>
          </xdr:nvGrpSpPr>
          <xdr:grpSpPr>
            <a:xfrm>
              <a:off x="2962275" y="2371724"/>
              <a:ext cx="2562225" cy="2560320"/>
              <a:chOff x="2962275" y="2371725"/>
              <a:chExt cx="2562225" cy="2486025"/>
            </a:xfrm>
          </xdr:grpSpPr>
          <xdr:sp macro="" textlink="">
            <xdr:nvSpPr>
              <xdr:cNvPr id="460" name="Donut 459"/>
              <xdr:cNvSpPr/>
            </xdr:nvSpPr>
            <xdr:spPr>
              <a:xfrm>
                <a:off x="2962275" y="2371725"/>
                <a:ext cx="2562225" cy="2486025"/>
              </a:xfrm>
              <a:prstGeom prst="donut">
                <a:avLst>
                  <a:gd name="adj" fmla="val 4296"/>
                </a:avLst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>
                  <a:solidFill>
                    <a:schemeClr val="tx1"/>
                  </a:solidFill>
                </a:endParaRPr>
              </a:p>
            </xdr:txBody>
          </xdr:sp>
          <xdr:sp macro="" textlink="">
            <xdr:nvSpPr>
              <xdr:cNvPr id="461" name="Oval 460"/>
              <xdr:cNvSpPr/>
            </xdr:nvSpPr>
            <xdr:spPr>
              <a:xfrm>
                <a:off x="4143375" y="3524250"/>
                <a:ext cx="209550" cy="209550"/>
              </a:xfrm>
              <a:prstGeom prst="ellipse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cxnSp macro="">
            <xdr:nvCxnSpPr>
              <xdr:cNvPr id="462" name="Straight Connector 461"/>
              <xdr:cNvCxnSpPr>
                <a:stCxn id="461" idx="0"/>
              </xdr:cNvCxnSpPr>
            </xdr:nvCxnSpPr>
            <xdr:spPr>
              <a:xfrm flipV="1">
                <a:off x="4248150" y="2495550"/>
                <a:ext cx="9525" cy="102870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3" name="Straight Connector 462"/>
              <xdr:cNvCxnSpPr/>
            </xdr:nvCxnSpPr>
            <xdr:spPr>
              <a:xfrm flipV="1">
                <a:off x="4314825" y="2790826"/>
                <a:ext cx="733425" cy="75247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4" name="Straight Connector 463"/>
              <xdr:cNvCxnSpPr>
                <a:stCxn id="461" idx="1"/>
              </xdr:cNvCxnSpPr>
            </xdr:nvCxnSpPr>
            <xdr:spPr>
              <a:xfrm flipH="1" flipV="1">
                <a:off x="3429001" y="2819400"/>
                <a:ext cx="745062" cy="735538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5" name="Straight Connector 464"/>
              <xdr:cNvCxnSpPr>
                <a:stCxn id="461" idx="2"/>
              </xdr:cNvCxnSpPr>
            </xdr:nvCxnSpPr>
            <xdr:spPr>
              <a:xfrm flipH="1" flipV="1">
                <a:off x="3076576" y="3609975"/>
                <a:ext cx="1066800" cy="1905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6" name="Straight Connector 465"/>
              <xdr:cNvCxnSpPr/>
            </xdr:nvCxnSpPr>
            <xdr:spPr>
              <a:xfrm flipV="1">
                <a:off x="4229100" y="3695700"/>
                <a:ext cx="9525" cy="102870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7" name="Straight Connector 466"/>
              <xdr:cNvCxnSpPr>
                <a:endCxn id="461" idx="3"/>
              </xdr:cNvCxnSpPr>
            </xdr:nvCxnSpPr>
            <xdr:spPr>
              <a:xfrm flipV="1">
                <a:off x="3419475" y="3703113"/>
                <a:ext cx="754589" cy="668863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8" name="Straight Connector 467"/>
              <xdr:cNvCxnSpPr>
                <a:stCxn id="460" idx="5"/>
              </xdr:cNvCxnSpPr>
            </xdr:nvCxnSpPr>
            <xdr:spPr>
              <a:xfrm flipH="1" flipV="1">
                <a:off x="4324351" y="3714751"/>
                <a:ext cx="824920" cy="77892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9" name="Straight Connector 468"/>
              <xdr:cNvCxnSpPr>
                <a:stCxn id="460" idx="6"/>
                <a:endCxn id="461" idx="6"/>
              </xdr:cNvCxnSpPr>
            </xdr:nvCxnSpPr>
            <xdr:spPr>
              <a:xfrm flipH="1">
                <a:off x="4352925" y="3614738"/>
                <a:ext cx="1171575" cy="14288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0" name="Straight Connector 469"/>
              <xdr:cNvCxnSpPr/>
            </xdr:nvCxnSpPr>
            <xdr:spPr>
              <a:xfrm flipV="1">
                <a:off x="4286250" y="2543175"/>
                <a:ext cx="409575" cy="99060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1" name="Straight Connector 470"/>
              <xdr:cNvCxnSpPr/>
            </xdr:nvCxnSpPr>
            <xdr:spPr>
              <a:xfrm flipH="1">
                <a:off x="4362451" y="3200400"/>
                <a:ext cx="952500" cy="3905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2" name="Straight Connector 471"/>
              <xdr:cNvCxnSpPr/>
            </xdr:nvCxnSpPr>
            <xdr:spPr>
              <a:xfrm flipH="1" flipV="1">
                <a:off x="4350813" y="3684062"/>
                <a:ext cx="1011764" cy="34501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3" name="Straight Connector 472"/>
              <xdr:cNvCxnSpPr/>
            </xdr:nvCxnSpPr>
            <xdr:spPr>
              <a:xfrm flipV="1">
                <a:off x="3790950" y="3743326"/>
                <a:ext cx="409575" cy="90487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4" name="Straight Connector 473"/>
              <xdr:cNvCxnSpPr/>
            </xdr:nvCxnSpPr>
            <xdr:spPr>
              <a:xfrm flipH="1" flipV="1">
                <a:off x="4295775" y="3724277"/>
                <a:ext cx="381000" cy="9334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5" name="Straight Connector 474"/>
              <xdr:cNvCxnSpPr/>
            </xdr:nvCxnSpPr>
            <xdr:spPr>
              <a:xfrm flipH="1" flipV="1">
                <a:off x="3829050" y="2562226"/>
                <a:ext cx="371475" cy="9620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6" name="Straight Connector 475"/>
              <xdr:cNvCxnSpPr/>
            </xdr:nvCxnSpPr>
            <xdr:spPr>
              <a:xfrm flipV="1">
                <a:off x="3181350" y="3676650"/>
                <a:ext cx="962025" cy="34290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7" name="Straight Connector 476"/>
              <xdr:cNvCxnSpPr/>
            </xdr:nvCxnSpPr>
            <xdr:spPr>
              <a:xfrm flipH="1" flipV="1">
                <a:off x="3171825" y="3162301"/>
                <a:ext cx="971550" cy="40957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459" name="Donut 458"/>
            <xdr:cNvSpPr/>
          </xdr:nvSpPr>
          <xdr:spPr>
            <a:xfrm>
              <a:off x="3343274" y="2733676"/>
              <a:ext cx="1828800" cy="1828800"/>
            </a:xfrm>
            <a:prstGeom prst="donut">
              <a:avLst>
                <a:gd name="adj" fmla="val 2675"/>
              </a:avLst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8" name="Group 347"/>
          <xdr:cNvGrpSpPr/>
        </xdr:nvGrpSpPr>
        <xdr:grpSpPr>
          <a:xfrm>
            <a:off x="4319230" y="4057646"/>
            <a:ext cx="1095376" cy="1143000"/>
            <a:chOff x="3248025" y="2143125"/>
            <a:chExt cx="766764" cy="871539"/>
          </a:xfrm>
        </xdr:grpSpPr>
        <xdr:sp macro="" textlink="">
          <xdr:nvSpPr>
            <xdr:cNvPr id="451" name="Freeform 450"/>
            <xdr:cNvSpPr/>
          </xdr:nvSpPr>
          <xdr:spPr>
            <a:xfrm>
              <a:off x="3443288" y="2762250"/>
              <a:ext cx="557212" cy="219075"/>
            </a:xfrm>
            <a:custGeom>
              <a:avLst/>
              <a:gdLst>
                <a:gd name="connsiteX0" fmla="*/ 423862 w 557212"/>
                <a:gd name="connsiteY0" fmla="*/ 219075 h 219075"/>
                <a:gd name="connsiteX1" fmla="*/ 557212 w 557212"/>
                <a:gd name="connsiteY1" fmla="*/ 147638 h 219075"/>
                <a:gd name="connsiteX2" fmla="*/ 100012 w 557212"/>
                <a:gd name="connsiteY2" fmla="*/ 0 h 219075"/>
                <a:gd name="connsiteX3" fmla="*/ 28575 w 557212"/>
                <a:gd name="connsiteY3" fmla="*/ 4763 h 219075"/>
                <a:gd name="connsiteX4" fmla="*/ 0 w 557212"/>
                <a:gd name="connsiteY4" fmla="*/ 19050 h 219075"/>
                <a:gd name="connsiteX5" fmla="*/ 19050 w 557212"/>
                <a:gd name="connsiteY5" fmla="*/ 66675 h 219075"/>
                <a:gd name="connsiteX6" fmla="*/ 85725 w 557212"/>
                <a:gd name="connsiteY6" fmla="*/ 114300 h 219075"/>
                <a:gd name="connsiteX7" fmla="*/ 423862 w 557212"/>
                <a:gd name="connsiteY7" fmla="*/ 219075 h 2190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557212" h="219075">
                  <a:moveTo>
                    <a:pt x="423862" y="219075"/>
                  </a:moveTo>
                  <a:lnTo>
                    <a:pt x="557212" y="147638"/>
                  </a:lnTo>
                  <a:lnTo>
                    <a:pt x="100012" y="0"/>
                  </a:lnTo>
                  <a:lnTo>
                    <a:pt x="28575" y="4763"/>
                  </a:lnTo>
                  <a:lnTo>
                    <a:pt x="0" y="19050"/>
                  </a:lnTo>
                  <a:lnTo>
                    <a:pt x="19050" y="66675"/>
                  </a:lnTo>
                  <a:lnTo>
                    <a:pt x="85725" y="114300"/>
                  </a:lnTo>
                  <a:lnTo>
                    <a:pt x="423862" y="219075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cxnSp macro="">
          <xdr:nvCxnSpPr>
            <xdr:cNvPr id="452" name="Straight Connector 451"/>
            <xdr:cNvCxnSpPr>
              <a:endCxn id="455" idx="0"/>
            </xdr:cNvCxnSpPr>
          </xdr:nvCxnSpPr>
          <xdr:spPr>
            <a:xfrm>
              <a:off x="3248025" y="2143125"/>
              <a:ext cx="160981" cy="632038"/>
            </a:xfrm>
            <a:prstGeom prst="line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453" name="Group 452"/>
            <xdr:cNvGrpSpPr/>
          </xdr:nvGrpSpPr>
          <xdr:grpSpPr>
            <a:xfrm>
              <a:off x="3399815" y="2725706"/>
              <a:ext cx="614974" cy="288958"/>
              <a:chOff x="3399815" y="2725706"/>
              <a:chExt cx="614974" cy="288958"/>
            </a:xfrm>
          </xdr:grpSpPr>
          <xdr:cxnSp macro="">
            <xdr:nvCxnSpPr>
              <xdr:cNvPr id="454" name="Straight Connector 453"/>
              <xdr:cNvCxnSpPr/>
            </xdr:nvCxnSpPr>
            <xdr:spPr>
              <a:xfrm flipH="1" flipV="1">
                <a:off x="3509965" y="2905127"/>
                <a:ext cx="357186" cy="109537"/>
              </a:xfrm>
              <a:prstGeom prst="line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55" name="Arc 454"/>
              <xdr:cNvSpPr/>
            </xdr:nvSpPr>
            <xdr:spPr>
              <a:xfrm rot="-4200000">
                <a:off x="3457499" y="2679541"/>
                <a:ext cx="189431" cy="304800"/>
              </a:xfrm>
              <a:prstGeom prst="arc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  <xdr:cxnSp macro="">
            <xdr:nvCxnSpPr>
              <xdr:cNvPr id="456" name="Straight Connector 455"/>
              <xdr:cNvCxnSpPr/>
            </xdr:nvCxnSpPr>
            <xdr:spPr>
              <a:xfrm flipH="1" flipV="1">
                <a:off x="3581401" y="2743203"/>
                <a:ext cx="433388" cy="133348"/>
              </a:xfrm>
              <a:prstGeom prst="line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57" name="Arc 456"/>
              <xdr:cNvSpPr/>
            </xdr:nvSpPr>
            <xdr:spPr>
              <a:xfrm rot="12000000">
                <a:off x="3404330" y="2725706"/>
                <a:ext cx="301752" cy="182880"/>
              </a:xfrm>
              <a:prstGeom prst="arc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</xdr:grpSp>
      </xdr:grpSp>
      <xdr:grpSp>
        <xdr:nvGrpSpPr>
          <xdr:cNvPr id="349" name="Group 348"/>
          <xdr:cNvGrpSpPr/>
        </xdr:nvGrpSpPr>
        <xdr:grpSpPr>
          <a:xfrm>
            <a:off x="1190625" y="695324"/>
            <a:ext cx="6448422" cy="4624388"/>
            <a:chOff x="847725" y="1371599"/>
            <a:chExt cx="6448422" cy="4624388"/>
          </a:xfrm>
          <a:scene3d>
            <a:camera prst="perspectiveHeroicExtremeLeftFacing"/>
            <a:lightRig rig="threePt" dir="t"/>
          </a:scene3d>
        </xdr:grpSpPr>
        <xdr:grpSp>
          <xdr:nvGrpSpPr>
            <xdr:cNvPr id="437" name="Group 436"/>
            <xdr:cNvGrpSpPr/>
          </xdr:nvGrpSpPr>
          <xdr:grpSpPr>
            <a:xfrm>
              <a:off x="1981200" y="1371599"/>
              <a:ext cx="1143001" cy="2776536"/>
              <a:chOff x="1981200" y="1371600"/>
              <a:chExt cx="1143001" cy="4867817"/>
            </a:xfrm>
          </xdr:grpSpPr>
          <xdr:sp macro="" textlink="">
            <xdr:nvSpPr>
              <xdr:cNvPr id="449" name="Arc 448"/>
              <xdr:cNvSpPr/>
            </xdr:nvSpPr>
            <xdr:spPr>
              <a:xfrm>
                <a:off x="1981200" y="1371600"/>
                <a:ext cx="1143000" cy="1219200"/>
              </a:xfrm>
              <a:prstGeom prst="arc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  <xdr:cxnSp macro="">
            <xdr:nvCxnSpPr>
              <xdr:cNvPr id="450" name="Straight Connector 449"/>
              <xdr:cNvCxnSpPr/>
            </xdr:nvCxnSpPr>
            <xdr:spPr>
              <a:xfrm flipH="1">
                <a:off x="3114676" y="1981201"/>
                <a:ext cx="9525" cy="4258216"/>
              </a:xfrm>
              <a:prstGeom prst="line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438" name="Straight Connector 437"/>
            <xdr:cNvCxnSpPr/>
          </xdr:nvCxnSpPr>
          <xdr:spPr>
            <a:xfrm flipH="1" flipV="1">
              <a:off x="3148013" y="4043363"/>
              <a:ext cx="2185988" cy="4762"/>
            </a:xfrm>
            <a:prstGeom prst="line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439" name="Group 438"/>
            <xdr:cNvGrpSpPr/>
          </xdr:nvGrpSpPr>
          <xdr:grpSpPr>
            <a:xfrm>
              <a:off x="2286000" y="2590800"/>
              <a:ext cx="1766888" cy="1409700"/>
              <a:chOff x="2286000" y="2590800"/>
              <a:chExt cx="1766888" cy="1409700"/>
            </a:xfrm>
          </xdr:grpSpPr>
          <xdr:cxnSp macro="">
            <xdr:nvCxnSpPr>
              <xdr:cNvPr id="447" name="Straight Connector 446"/>
              <xdr:cNvCxnSpPr/>
            </xdr:nvCxnSpPr>
            <xdr:spPr>
              <a:xfrm>
                <a:off x="4038600" y="3200400"/>
                <a:ext cx="14288" cy="800100"/>
              </a:xfrm>
              <a:prstGeom prst="line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48" name="Arc 447"/>
              <xdr:cNvSpPr/>
            </xdr:nvSpPr>
            <xdr:spPr>
              <a:xfrm>
                <a:off x="2286000" y="2590800"/>
                <a:ext cx="1752600" cy="1219200"/>
              </a:xfrm>
              <a:prstGeom prst="arc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</xdr:grpSp>
        <xdr:sp macro="" textlink="">
          <xdr:nvSpPr>
            <xdr:cNvPr id="440" name="Rectangle 439"/>
            <xdr:cNvSpPr/>
          </xdr:nvSpPr>
          <xdr:spPr>
            <a:xfrm>
              <a:off x="6329363" y="4581525"/>
              <a:ext cx="228600" cy="304800"/>
            </a:xfrm>
            <a:prstGeom prst="rect">
              <a:avLst/>
            </a:prstGeom>
            <a:solidFill>
              <a:schemeClr val="bg1"/>
            </a:solidFill>
            <a:ln w="38100" cmpd="sng"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n-US"/>
            </a:p>
          </xdr:txBody>
        </xdr:sp>
        <xdr:grpSp>
          <xdr:nvGrpSpPr>
            <xdr:cNvPr id="441" name="Group 440"/>
            <xdr:cNvGrpSpPr/>
          </xdr:nvGrpSpPr>
          <xdr:grpSpPr>
            <a:xfrm>
              <a:off x="3159441" y="4084320"/>
              <a:ext cx="3184207" cy="726758"/>
              <a:chOff x="3159442" y="4084320"/>
              <a:chExt cx="2555557" cy="726758"/>
            </a:xfrm>
          </xdr:grpSpPr>
          <xdr:sp macro="" textlink="">
            <xdr:nvSpPr>
              <xdr:cNvPr id="445" name="Freeform 444"/>
              <xdr:cNvSpPr/>
            </xdr:nvSpPr>
            <xdr:spPr>
              <a:xfrm rot="10800000" flipV="1">
                <a:off x="4434839" y="4445318"/>
                <a:ext cx="1280160" cy="365760"/>
              </a:xfrm>
              <a:custGeom>
                <a:avLst/>
                <a:gdLst>
                  <a:gd name="connsiteX0" fmla="*/ 2688609 w 2688609"/>
                  <a:gd name="connsiteY0" fmla="*/ 0 h 855261"/>
                  <a:gd name="connsiteX1" fmla="*/ 900753 w 2688609"/>
                  <a:gd name="connsiteY1" fmla="*/ 723332 h 855261"/>
                  <a:gd name="connsiteX2" fmla="*/ 0 w 2688609"/>
                  <a:gd name="connsiteY2" fmla="*/ 791571 h 855261"/>
                  <a:gd name="connsiteX3" fmla="*/ 0 w 2688609"/>
                  <a:gd name="connsiteY3" fmla="*/ 791571 h 855261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2688609" h="855261">
                    <a:moveTo>
                      <a:pt x="2688609" y="0"/>
                    </a:moveTo>
                    <a:cubicBezTo>
                      <a:pt x="2018732" y="295702"/>
                      <a:pt x="1348855" y="591404"/>
                      <a:pt x="900753" y="723332"/>
                    </a:cubicBezTo>
                    <a:cubicBezTo>
                      <a:pt x="452652" y="855261"/>
                      <a:pt x="0" y="791571"/>
                      <a:pt x="0" y="791571"/>
                    </a:cubicBezTo>
                    <a:lnTo>
                      <a:pt x="0" y="791571"/>
                    </a:lnTo>
                  </a:path>
                </a:pathLst>
              </a:custGeom>
              <a:ln w="76200" cmpd="dbl">
                <a:solidFill>
                  <a:schemeClr val="accent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  <xdr:sp macro="" textlink="">
            <xdr:nvSpPr>
              <xdr:cNvPr id="446" name="Freeform 445"/>
              <xdr:cNvSpPr/>
            </xdr:nvSpPr>
            <xdr:spPr>
              <a:xfrm rot="10800000" flipH="1">
                <a:off x="3159442" y="4084320"/>
                <a:ext cx="1280160" cy="365760"/>
              </a:xfrm>
              <a:custGeom>
                <a:avLst/>
                <a:gdLst>
                  <a:gd name="connsiteX0" fmla="*/ 2688609 w 2688609"/>
                  <a:gd name="connsiteY0" fmla="*/ 0 h 855261"/>
                  <a:gd name="connsiteX1" fmla="*/ 900753 w 2688609"/>
                  <a:gd name="connsiteY1" fmla="*/ 723332 h 855261"/>
                  <a:gd name="connsiteX2" fmla="*/ 0 w 2688609"/>
                  <a:gd name="connsiteY2" fmla="*/ 791571 h 855261"/>
                  <a:gd name="connsiteX3" fmla="*/ 0 w 2688609"/>
                  <a:gd name="connsiteY3" fmla="*/ 791571 h 855261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2688609" h="855261">
                    <a:moveTo>
                      <a:pt x="2688609" y="0"/>
                    </a:moveTo>
                    <a:cubicBezTo>
                      <a:pt x="2018732" y="295702"/>
                      <a:pt x="1348855" y="591404"/>
                      <a:pt x="900753" y="723332"/>
                    </a:cubicBezTo>
                    <a:cubicBezTo>
                      <a:pt x="452652" y="855261"/>
                      <a:pt x="0" y="791571"/>
                      <a:pt x="0" y="791571"/>
                    </a:cubicBezTo>
                    <a:lnTo>
                      <a:pt x="0" y="791571"/>
                    </a:lnTo>
                  </a:path>
                </a:pathLst>
              </a:custGeom>
              <a:ln w="76200" cmpd="dbl">
                <a:solidFill>
                  <a:schemeClr val="accent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</xdr:grpSp>
        <xdr:grpSp>
          <xdr:nvGrpSpPr>
            <xdr:cNvPr id="442" name="Group 441"/>
            <xdr:cNvGrpSpPr/>
          </xdr:nvGrpSpPr>
          <xdr:grpSpPr>
            <a:xfrm>
              <a:off x="847725" y="1866900"/>
              <a:ext cx="6448422" cy="4129087"/>
              <a:chOff x="847725" y="1866900"/>
              <a:chExt cx="6448422" cy="4129087"/>
            </a:xfrm>
          </xdr:grpSpPr>
          <xdr:sp macro="" textlink="">
            <xdr:nvSpPr>
              <xdr:cNvPr id="443" name="Arc 442"/>
              <xdr:cNvSpPr/>
            </xdr:nvSpPr>
            <xdr:spPr>
              <a:xfrm>
                <a:off x="847725" y="1866900"/>
                <a:ext cx="4524375" cy="4129087"/>
              </a:xfrm>
              <a:prstGeom prst="arc">
                <a:avLst>
                  <a:gd name="adj1" fmla="val 16200000"/>
                  <a:gd name="adj2" fmla="val 93724"/>
                </a:avLst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  <xdr:sp macro="" textlink="">
            <xdr:nvSpPr>
              <xdr:cNvPr id="444" name="Arc 443"/>
              <xdr:cNvSpPr/>
            </xdr:nvSpPr>
            <xdr:spPr>
              <a:xfrm flipH="1" flipV="1">
                <a:off x="5372096" y="3348036"/>
                <a:ext cx="1924051" cy="1333497"/>
              </a:xfrm>
              <a:prstGeom prst="arc">
                <a:avLst>
                  <a:gd name="adj1" fmla="val 16200000"/>
                  <a:gd name="adj2" fmla="val 93724"/>
                </a:avLst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</xdr:grpSp>
      </xdr:grpSp>
      <xdr:sp macro="" textlink="">
        <xdr:nvSpPr>
          <xdr:cNvPr id="350" name="TextBox 19"/>
          <xdr:cNvSpPr txBox="1">
            <a:spLocks noChangeArrowheads="1"/>
          </xdr:cNvSpPr>
        </xdr:nvSpPr>
        <xdr:spPr bwMode="auto">
          <a:xfrm>
            <a:off x="5028846" y="1260356"/>
            <a:ext cx="841705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Fender</a:t>
            </a:r>
          </a:p>
        </xdr:txBody>
      </xdr:sp>
      <xdr:sp macro="" textlink="">
        <xdr:nvSpPr>
          <xdr:cNvPr id="351" name="TextBox 20"/>
          <xdr:cNvSpPr txBox="1">
            <a:spLocks noChangeArrowheads="1"/>
          </xdr:cNvSpPr>
        </xdr:nvSpPr>
        <xdr:spPr bwMode="auto">
          <a:xfrm>
            <a:off x="5835485" y="3094771"/>
            <a:ext cx="1225464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Brake lever</a:t>
            </a:r>
          </a:p>
        </xdr:txBody>
      </xdr:sp>
      <xdr:sp macro="" textlink="">
        <xdr:nvSpPr>
          <xdr:cNvPr id="352" name="TextBox 21"/>
          <xdr:cNvSpPr txBox="1">
            <a:spLocks noChangeArrowheads="1"/>
          </xdr:cNvSpPr>
        </xdr:nvSpPr>
        <xdr:spPr bwMode="auto">
          <a:xfrm>
            <a:off x="2730689" y="997424"/>
            <a:ext cx="622286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Back</a:t>
            </a:r>
          </a:p>
        </xdr:txBody>
      </xdr:sp>
      <xdr:sp macro="" textlink="">
        <xdr:nvSpPr>
          <xdr:cNvPr id="353" name="TextBox 16"/>
          <xdr:cNvSpPr txBox="1"/>
        </xdr:nvSpPr>
        <xdr:spPr>
          <a:xfrm>
            <a:off x="1314024" y="5445598"/>
            <a:ext cx="3749744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 b="1"/>
              <a:t>Completed wheelchair assembly</a:t>
            </a:r>
          </a:p>
        </xdr:txBody>
      </xdr:sp>
      <xdr:sp macro="" textlink="">
        <xdr:nvSpPr>
          <xdr:cNvPr id="354" name="TextBox 17"/>
          <xdr:cNvSpPr txBox="1">
            <a:spLocks noChangeArrowheads="1"/>
          </xdr:cNvSpPr>
        </xdr:nvSpPr>
        <xdr:spPr bwMode="auto">
          <a:xfrm>
            <a:off x="1303300" y="1167656"/>
            <a:ext cx="851515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Handle</a:t>
            </a:r>
          </a:p>
        </xdr:txBody>
      </xdr:sp>
      <xdr:grpSp>
        <xdr:nvGrpSpPr>
          <xdr:cNvPr id="355" name="Group 354"/>
          <xdr:cNvGrpSpPr/>
        </xdr:nvGrpSpPr>
        <xdr:grpSpPr>
          <a:xfrm>
            <a:off x="5462941" y="3671244"/>
            <a:ext cx="1095376" cy="1143000"/>
            <a:chOff x="3248025" y="2143125"/>
            <a:chExt cx="766764" cy="871539"/>
          </a:xfrm>
        </xdr:grpSpPr>
        <xdr:sp macro="" textlink="">
          <xdr:nvSpPr>
            <xdr:cNvPr id="430" name="Freeform 429"/>
            <xdr:cNvSpPr/>
          </xdr:nvSpPr>
          <xdr:spPr>
            <a:xfrm>
              <a:off x="3443288" y="2762250"/>
              <a:ext cx="557212" cy="219075"/>
            </a:xfrm>
            <a:custGeom>
              <a:avLst/>
              <a:gdLst>
                <a:gd name="connsiteX0" fmla="*/ 423862 w 557212"/>
                <a:gd name="connsiteY0" fmla="*/ 219075 h 219075"/>
                <a:gd name="connsiteX1" fmla="*/ 557212 w 557212"/>
                <a:gd name="connsiteY1" fmla="*/ 147638 h 219075"/>
                <a:gd name="connsiteX2" fmla="*/ 100012 w 557212"/>
                <a:gd name="connsiteY2" fmla="*/ 0 h 219075"/>
                <a:gd name="connsiteX3" fmla="*/ 28575 w 557212"/>
                <a:gd name="connsiteY3" fmla="*/ 4763 h 219075"/>
                <a:gd name="connsiteX4" fmla="*/ 0 w 557212"/>
                <a:gd name="connsiteY4" fmla="*/ 19050 h 219075"/>
                <a:gd name="connsiteX5" fmla="*/ 19050 w 557212"/>
                <a:gd name="connsiteY5" fmla="*/ 66675 h 219075"/>
                <a:gd name="connsiteX6" fmla="*/ 85725 w 557212"/>
                <a:gd name="connsiteY6" fmla="*/ 114300 h 219075"/>
                <a:gd name="connsiteX7" fmla="*/ 423862 w 557212"/>
                <a:gd name="connsiteY7" fmla="*/ 219075 h 2190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557212" h="219075">
                  <a:moveTo>
                    <a:pt x="423862" y="219075"/>
                  </a:moveTo>
                  <a:lnTo>
                    <a:pt x="557212" y="147638"/>
                  </a:lnTo>
                  <a:lnTo>
                    <a:pt x="100012" y="0"/>
                  </a:lnTo>
                  <a:lnTo>
                    <a:pt x="28575" y="4763"/>
                  </a:lnTo>
                  <a:lnTo>
                    <a:pt x="0" y="19050"/>
                  </a:lnTo>
                  <a:lnTo>
                    <a:pt x="19050" y="66675"/>
                  </a:lnTo>
                  <a:lnTo>
                    <a:pt x="85725" y="114300"/>
                  </a:lnTo>
                  <a:lnTo>
                    <a:pt x="423862" y="219075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cxnSp macro="">
          <xdr:nvCxnSpPr>
            <xdr:cNvPr id="431" name="Straight Connector 430"/>
            <xdr:cNvCxnSpPr>
              <a:endCxn id="434" idx="0"/>
            </xdr:cNvCxnSpPr>
          </xdr:nvCxnSpPr>
          <xdr:spPr>
            <a:xfrm>
              <a:off x="3248025" y="2143125"/>
              <a:ext cx="160981" cy="632038"/>
            </a:xfrm>
            <a:prstGeom prst="line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432" name="Group 431"/>
            <xdr:cNvGrpSpPr/>
          </xdr:nvGrpSpPr>
          <xdr:grpSpPr>
            <a:xfrm>
              <a:off x="3399815" y="2725706"/>
              <a:ext cx="614974" cy="288958"/>
              <a:chOff x="3399815" y="2725706"/>
              <a:chExt cx="614974" cy="288958"/>
            </a:xfrm>
          </xdr:grpSpPr>
          <xdr:cxnSp macro="">
            <xdr:nvCxnSpPr>
              <xdr:cNvPr id="433" name="Straight Connector 432"/>
              <xdr:cNvCxnSpPr/>
            </xdr:nvCxnSpPr>
            <xdr:spPr>
              <a:xfrm flipH="1" flipV="1">
                <a:off x="3509965" y="2905127"/>
                <a:ext cx="357186" cy="109537"/>
              </a:xfrm>
              <a:prstGeom prst="line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34" name="Arc 433"/>
              <xdr:cNvSpPr/>
            </xdr:nvSpPr>
            <xdr:spPr>
              <a:xfrm rot="-4200000">
                <a:off x="3457499" y="2679541"/>
                <a:ext cx="189431" cy="304800"/>
              </a:xfrm>
              <a:prstGeom prst="arc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  <xdr:cxnSp macro="">
            <xdr:nvCxnSpPr>
              <xdr:cNvPr id="435" name="Straight Connector 434"/>
              <xdr:cNvCxnSpPr/>
            </xdr:nvCxnSpPr>
            <xdr:spPr>
              <a:xfrm flipH="1" flipV="1">
                <a:off x="3581401" y="2743203"/>
                <a:ext cx="433388" cy="133348"/>
              </a:xfrm>
              <a:prstGeom prst="line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36" name="Arc 435"/>
              <xdr:cNvSpPr/>
            </xdr:nvSpPr>
            <xdr:spPr>
              <a:xfrm rot="12000000">
                <a:off x="3404330" y="2725706"/>
                <a:ext cx="301752" cy="182880"/>
              </a:xfrm>
              <a:prstGeom prst="arc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</xdr:grpSp>
      </xdr:grpSp>
      <xdr:grpSp>
        <xdr:nvGrpSpPr>
          <xdr:cNvPr id="356" name="Group 355"/>
          <xdr:cNvGrpSpPr/>
        </xdr:nvGrpSpPr>
        <xdr:grpSpPr>
          <a:xfrm>
            <a:off x="5197807" y="5092747"/>
            <a:ext cx="962025" cy="869823"/>
            <a:chOff x="3409950" y="2486025"/>
            <a:chExt cx="962025" cy="869823"/>
          </a:xfrm>
        </xdr:grpSpPr>
        <xdr:cxnSp macro="">
          <xdr:nvCxnSpPr>
            <xdr:cNvPr id="418" name="Straight Connector 417"/>
            <xdr:cNvCxnSpPr/>
          </xdr:nvCxnSpPr>
          <xdr:spPr>
            <a:xfrm>
              <a:off x="3409950" y="2486025"/>
              <a:ext cx="0" cy="280988"/>
            </a:xfrm>
            <a:prstGeom prst="line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419" name="Group 418"/>
            <xdr:cNvGrpSpPr/>
          </xdr:nvGrpSpPr>
          <xdr:grpSpPr>
            <a:xfrm rot="10800000">
              <a:off x="3686175" y="2667000"/>
              <a:ext cx="685800" cy="688848"/>
              <a:chOff x="3733800" y="2590800"/>
              <a:chExt cx="685800" cy="688848"/>
            </a:xfrm>
          </xdr:grpSpPr>
          <xdr:sp macro="" textlink="">
            <xdr:nvSpPr>
              <xdr:cNvPr id="425" name="Oval 424"/>
              <xdr:cNvSpPr/>
            </xdr:nvSpPr>
            <xdr:spPr>
              <a:xfrm>
                <a:off x="3962400" y="2667000"/>
                <a:ext cx="457200" cy="533400"/>
              </a:xfrm>
              <a:prstGeom prst="ellips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sp macro="" textlink="">
            <xdr:nvSpPr>
              <xdr:cNvPr id="426" name="Arc 425"/>
              <xdr:cNvSpPr/>
            </xdr:nvSpPr>
            <xdr:spPr>
              <a:xfrm rot="10800000">
                <a:off x="3733800" y="2590800"/>
                <a:ext cx="381000" cy="609600"/>
              </a:xfrm>
              <a:prstGeom prst="arc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sp macro="" textlink="">
            <xdr:nvSpPr>
              <xdr:cNvPr id="427" name="Arc 426"/>
              <xdr:cNvSpPr/>
            </xdr:nvSpPr>
            <xdr:spPr>
              <a:xfrm rot="16200000">
                <a:off x="3619500" y="2781300"/>
                <a:ext cx="612648" cy="384048"/>
              </a:xfrm>
              <a:prstGeom prst="arc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cxnSp macro="">
            <xdr:nvCxnSpPr>
              <xdr:cNvPr id="428" name="Straight Connector 427"/>
              <xdr:cNvCxnSpPr>
                <a:stCxn id="427" idx="2"/>
                <a:endCxn id="425" idx="0"/>
              </xdr:cNvCxnSpPr>
            </xdr:nvCxnSpPr>
            <xdr:spPr>
              <a:xfrm rot="10800000" flipH="1">
                <a:off x="3925824" y="2667000"/>
                <a:ext cx="265176" cy="0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29" name="Straight Connector 428"/>
              <xdr:cNvCxnSpPr/>
            </xdr:nvCxnSpPr>
            <xdr:spPr>
              <a:xfrm rot="10800000" flipH="1">
                <a:off x="3886200" y="3200400"/>
                <a:ext cx="265176" cy="0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420" name="Group 419"/>
            <xdr:cNvGrpSpPr/>
          </xdr:nvGrpSpPr>
          <xdr:grpSpPr>
            <a:xfrm>
              <a:off x="3418866" y="2720943"/>
              <a:ext cx="486385" cy="322295"/>
              <a:chOff x="3418866" y="2720943"/>
              <a:chExt cx="486385" cy="322295"/>
            </a:xfrm>
          </xdr:grpSpPr>
          <xdr:cxnSp macro="">
            <xdr:nvCxnSpPr>
              <xdr:cNvPr id="421" name="Straight Connector 420"/>
              <xdr:cNvCxnSpPr/>
            </xdr:nvCxnSpPr>
            <xdr:spPr>
              <a:xfrm flipH="1" flipV="1">
                <a:off x="3504486" y="2900364"/>
                <a:ext cx="400765" cy="142874"/>
              </a:xfrm>
              <a:prstGeom prst="line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22" name="Arc 421"/>
              <xdr:cNvSpPr/>
            </xdr:nvSpPr>
            <xdr:spPr>
              <a:xfrm rot="17400000">
                <a:off x="3442608" y="2708721"/>
                <a:ext cx="189431" cy="236915"/>
              </a:xfrm>
              <a:prstGeom prst="arc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  <xdr:cxnSp macro="">
            <xdr:nvCxnSpPr>
              <xdr:cNvPr id="423" name="Straight Connector 422"/>
              <xdr:cNvCxnSpPr>
                <a:stCxn id="425" idx="5"/>
              </xdr:cNvCxnSpPr>
            </xdr:nvCxnSpPr>
            <xdr:spPr>
              <a:xfrm flipH="1" flipV="1">
                <a:off x="3560010" y="2738439"/>
                <a:ext cx="193120" cy="85924"/>
              </a:xfrm>
              <a:prstGeom prst="line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24" name="Arc 423"/>
              <xdr:cNvSpPr/>
            </xdr:nvSpPr>
            <xdr:spPr>
              <a:xfrm rot="12000000">
                <a:off x="3422375" y="2720943"/>
                <a:ext cx="234546" cy="182880"/>
              </a:xfrm>
              <a:prstGeom prst="arc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</xdr:grpSp>
      </xdr:grpSp>
      <xdr:grpSp>
        <xdr:nvGrpSpPr>
          <xdr:cNvPr id="357" name="Group 356"/>
          <xdr:cNvGrpSpPr/>
        </xdr:nvGrpSpPr>
        <xdr:grpSpPr>
          <a:xfrm>
            <a:off x="6564858" y="4685589"/>
            <a:ext cx="962025" cy="869823"/>
            <a:chOff x="3409950" y="2486025"/>
            <a:chExt cx="962025" cy="869823"/>
          </a:xfrm>
        </xdr:grpSpPr>
        <xdr:cxnSp macro="">
          <xdr:nvCxnSpPr>
            <xdr:cNvPr id="406" name="Straight Connector 405"/>
            <xdr:cNvCxnSpPr/>
          </xdr:nvCxnSpPr>
          <xdr:spPr>
            <a:xfrm>
              <a:off x="3409950" y="2486025"/>
              <a:ext cx="0" cy="280988"/>
            </a:xfrm>
            <a:prstGeom prst="line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407" name="Group 406"/>
            <xdr:cNvGrpSpPr/>
          </xdr:nvGrpSpPr>
          <xdr:grpSpPr>
            <a:xfrm rot="10800000">
              <a:off x="3686175" y="2667000"/>
              <a:ext cx="685800" cy="688848"/>
              <a:chOff x="3733800" y="2590800"/>
              <a:chExt cx="685800" cy="688848"/>
            </a:xfrm>
          </xdr:grpSpPr>
          <xdr:sp macro="" textlink="">
            <xdr:nvSpPr>
              <xdr:cNvPr id="413" name="Oval 412"/>
              <xdr:cNvSpPr/>
            </xdr:nvSpPr>
            <xdr:spPr>
              <a:xfrm>
                <a:off x="3962400" y="2667000"/>
                <a:ext cx="457200" cy="533400"/>
              </a:xfrm>
              <a:prstGeom prst="ellipse">
                <a:avLst/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sp macro="" textlink="">
            <xdr:nvSpPr>
              <xdr:cNvPr id="414" name="Arc 413"/>
              <xdr:cNvSpPr/>
            </xdr:nvSpPr>
            <xdr:spPr>
              <a:xfrm rot="10800000">
                <a:off x="3733800" y="2590800"/>
                <a:ext cx="381000" cy="609600"/>
              </a:xfrm>
              <a:prstGeom prst="arc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sp macro="" textlink="">
            <xdr:nvSpPr>
              <xdr:cNvPr id="415" name="Arc 414"/>
              <xdr:cNvSpPr/>
            </xdr:nvSpPr>
            <xdr:spPr>
              <a:xfrm rot="16200000">
                <a:off x="3619500" y="2781300"/>
                <a:ext cx="612648" cy="384048"/>
              </a:xfrm>
              <a:prstGeom prst="arc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cxnSp macro="">
            <xdr:nvCxnSpPr>
              <xdr:cNvPr id="416" name="Straight Connector 415"/>
              <xdr:cNvCxnSpPr>
                <a:stCxn id="415" idx="2"/>
                <a:endCxn id="413" idx="0"/>
              </xdr:cNvCxnSpPr>
            </xdr:nvCxnSpPr>
            <xdr:spPr>
              <a:xfrm rot="10800000" flipH="1">
                <a:off x="3925824" y="2667000"/>
                <a:ext cx="265176" cy="0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17" name="Straight Connector 416"/>
              <xdr:cNvCxnSpPr/>
            </xdr:nvCxnSpPr>
            <xdr:spPr>
              <a:xfrm rot="10800000" flipH="1">
                <a:off x="3886200" y="3200400"/>
                <a:ext cx="265176" cy="0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408" name="Group 407"/>
            <xdr:cNvGrpSpPr/>
          </xdr:nvGrpSpPr>
          <xdr:grpSpPr>
            <a:xfrm>
              <a:off x="3418866" y="2720943"/>
              <a:ext cx="486385" cy="322295"/>
              <a:chOff x="3418866" y="2720943"/>
              <a:chExt cx="486385" cy="322295"/>
            </a:xfrm>
          </xdr:grpSpPr>
          <xdr:cxnSp macro="">
            <xdr:nvCxnSpPr>
              <xdr:cNvPr id="409" name="Straight Connector 408"/>
              <xdr:cNvCxnSpPr/>
            </xdr:nvCxnSpPr>
            <xdr:spPr>
              <a:xfrm flipH="1" flipV="1">
                <a:off x="3504486" y="2900364"/>
                <a:ext cx="400765" cy="142874"/>
              </a:xfrm>
              <a:prstGeom prst="line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Arc 409"/>
              <xdr:cNvSpPr/>
            </xdr:nvSpPr>
            <xdr:spPr>
              <a:xfrm rot="17400000">
                <a:off x="3442608" y="2708721"/>
                <a:ext cx="189431" cy="236915"/>
              </a:xfrm>
              <a:prstGeom prst="arc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  <xdr:cxnSp macro="">
            <xdr:nvCxnSpPr>
              <xdr:cNvPr id="411" name="Straight Connector 410"/>
              <xdr:cNvCxnSpPr>
                <a:stCxn id="413" idx="5"/>
              </xdr:cNvCxnSpPr>
            </xdr:nvCxnSpPr>
            <xdr:spPr>
              <a:xfrm flipH="1" flipV="1">
                <a:off x="3560010" y="2738439"/>
                <a:ext cx="193120" cy="85924"/>
              </a:xfrm>
              <a:prstGeom prst="line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2" name="Arc 411"/>
              <xdr:cNvSpPr/>
            </xdr:nvSpPr>
            <xdr:spPr>
              <a:xfrm rot="12000000">
                <a:off x="3422375" y="2720943"/>
                <a:ext cx="234546" cy="182880"/>
              </a:xfrm>
              <a:prstGeom prst="arc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</xdr:grpSp>
      </xdr:grpSp>
      <xdr:sp macro="" textlink="">
        <xdr:nvSpPr>
          <xdr:cNvPr id="358" name="Parallelogram 357"/>
          <xdr:cNvSpPr/>
        </xdr:nvSpPr>
        <xdr:spPr>
          <a:xfrm rot="5400000" flipH="1">
            <a:off x="2119312" y="1533525"/>
            <a:ext cx="2147887" cy="1404938"/>
          </a:xfrm>
          <a:prstGeom prst="parallelogram">
            <a:avLst/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359" name="Parallelogram 358"/>
          <xdr:cNvSpPr/>
        </xdr:nvSpPr>
        <xdr:spPr>
          <a:xfrm rot="840000">
            <a:off x="2819526" y="3186645"/>
            <a:ext cx="2545826" cy="663378"/>
          </a:xfrm>
          <a:prstGeom prst="parallelogram">
            <a:avLst>
              <a:gd name="adj" fmla="val 175071"/>
            </a:avLst>
          </a:prstGeom>
          <a:solidFill>
            <a:schemeClr val="tx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grpSp>
        <xdr:nvGrpSpPr>
          <xdr:cNvPr id="360" name="Group 359"/>
          <xdr:cNvGrpSpPr/>
        </xdr:nvGrpSpPr>
        <xdr:grpSpPr>
          <a:xfrm>
            <a:off x="-171450" y="1095374"/>
            <a:ext cx="6448422" cy="4624388"/>
            <a:chOff x="847725" y="1371599"/>
            <a:chExt cx="6448422" cy="4624388"/>
          </a:xfrm>
          <a:scene3d>
            <a:camera prst="perspectiveHeroicExtremeLeftFacing"/>
            <a:lightRig rig="threePt" dir="t"/>
          </a:scene3d>
        </xdr:grpSpPr>
        <xdr:grpSp>
          <xdr:nvGrpSpPr>
            <xdr:cNvPr id="392" name="Group 391"/>
            <xdr:cNvGrpSpPr/>
          </xdr:nvGrpSpPr>
          <xdr:grpSpPr>
            <a:xfrm>
              <a:off x="1981200" y="1371599"/>
              <a:ext cx="1143001" cy="2776536"/>
              <a:chOff x="1981200" y="1371600"/>
              <a:chExt cx="1143001" cy="4867817"/>
            </a:xfrm>
          </xdr:grpSpPr>
          <xdr:sp macro="" textlink="">
            <xdr:nvSpPr>
              <xdr:cNvPr id="404" name="Arc 403"/>
              <xdr:cNvSpPr/>
            </xdr:nvSpPr>
            <xdr:spPr>
              <a:xfrm>
                <a:off x="1981200" y="1371600"/>
                <a:ext cx="1143000" cy="1219200"/>
              </a:xfrm>
              <a:prstGeom prst="arc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  <xdr:cxnSp macro="">
            <xdr:nvCxnSpPr>
              <xdr:cNvPr id="405" name="Straight Connector 404"/>
              <xdr:cNvCxnSpPr/>
            </xdr:nvCxnSpPr>
            <xdr:spPr>
              <a:xfrm flipH="1">
                <a:off x="3114676" y="1981201"/>
                <a:ext cx="9525" cy="4258216"/>
              </a:xfrm>
              <a:prstGeom prst="line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393" name="Straight Connector 392"/>
            <xdr:cNvCxnSpPr/>
          </xdr:nvCxnSpPr>
          <xdr:spPr>
            <a:xfrm flipH="1" flipV="1">
              <a:off x="3148013" y="4043363"/>
              <a:ext cx="2185988" cy="4762"/>
            </a:xfrm>
            <a:prstGeom prst="line">
              <a:avLst/>
            </a:prstGeom>
            <a:ln w="76200" cmpd="dbl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394" name="Group 393"/>
            <xdr:cNvGrpSpPr/>
          </xdr:nvGrpSpPr>
          <xdr:grpSpPr>
            <a:xfrm>
              <a:off x="2286000" y="2590800"/>
              <a:ext cx="1766888" cy="1409700"/>
              <a:chOff x="2286000" y="2590800"/>
              <a:chExt cx="1766888" cy="1409700"/>
            </a:xfrm>
          </xdr:grpSpPr>
          <xdr:cxnSp macro="">
            <xdr:nvCxnSpPr>
              <xdr:cNvPr id="402" name="Straight Connector 401"/>
              <xdr:cNvCxnSpPr/>
            </xdr:nvCxnSpPr>
            <xdr:spPr>
              <a:xfrm>
                <a:off x="4038600" y="3200400"/>
                <a:ext cx="14288" cy="800100"/>
              </a:xfrm>
              <a:prstGeom prst="line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03" name="Arc 402"/>
              <xdr:cNvSpPr/>
            </xdr:nvSpPr>
            <xdr:spPr>
              <a:xfrm>
                <a:off x="2286000" y="2590800"/>
                <a:ext cx="1752600" cy="1219200"/>
              </a:xfrm>
              <a:prstGeom prst="arc">
                <a:avLst/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</xdr:grpSp>
        <xdr:sp macro="" textlink="">
          <xdr:nvSpPr>
            <xdr:cNvPr id="395" name="Rectangle 394"/>
            <xdr:cNvSpPr/>
          </xdr:nvSpPr>
          <xdr:spPr>
            <a:xfrm>
              <a:off x="6329363" y="4581525"/>
              <a:ext cx="228600" cy="304800"/>
            </a:xfrm>
            <a:prstGeom prst="rect">
              <a:avLst/>
            </a:prstGeom>
            <a:solidFill>
              <a:schemeClr val="bg1"/>
            </a:solidFill>
            <a:ln w="38100" cmpd="sng"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fontAlgn="auto">
                <a:spcBef>
                  <a:spcPts val="0"/>
                </a:spcBef>
                <a:spcAft>
                  <a:spcPts val="0"/>
                </a:spcAft>
                <a:defRPr/>
              </a:pPr>
              <a:endParaRPr lang="en-US"/>
            </a:p>
          </xdr:txBody>
        </xdr:sp>
        <xdr:grpSp>
          <xdr:nvGrpSpPr>
            <xdr:cNvPr id="396" name="Group 395"/>
            <xdr:cNvGrpSpPr/>
          </xdr:nvGrpSpPr>
          <xdr:grpSpPr>
            <a:xfrm>
              <a:off x="3159441" y="4084320"/>
              <a:ext cx="3184207" cy="726758"/>
              <a:chOff x="3159442" y="4084320"/>
              <a:chExt cx="2555557" cy="726758"/>
            </a:xfrm>
          </xdr:grpSpPr>
          <xdr:sp macro="" textlink="">
            <xdr:nvSpPr>
              <xdr:cNvPr id="400" name="Freeform 399"/>
              <xdr:cNvSpPr/>
            </xdr:nvSpPr>
            <xdr:spPr>
              <a:xfrm rot="10800000" flipV="1">
                <a:off x="4434839" y="4445318"/>
                <a:ext cx="1280160" cy="365760"/>
              </a:xfrm>
              <a:custGeom>
                <a:avLst/>
                <a:gdLst>
                  <a:gd name="connsiteX0" fmla="*/ 2688609 w 2688609"/>
                  <a:gd name="connsiteY0" fmla="*/ 0 h 855261"/>
                  <a:gd name="connsiteX1" fmla="*/ 900753 w 2688609"/>
                  <a:gd name="connsiteY1" fmla="*/ 723332 h 855261"/>
                  <a:gd name="connsiteX2" fmla="*/ 0 w 2688609"/>
                  <a:gd name="connsiteY2" fmla="*/ 791571 h 855261"/>
                  <a:gd name="connsiteX3" fmla="*/ 0 w 2688609"/>
                  <a:gd name="connsiteY3" fmla="*/ 791571 h 855261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2688609" h="855261">
                    <a:moveTo>
                      <a:pt x="2688609" y="0"/>
                    </a:moveTo>
                    <a:cubicBezTo>
                      <a:pt x="2018732" y="295702"/>
                      <a:pt x="1348855" y="591404"/>
                      <a:pt x="900753" y="723332"/>
                    </a:cubicBezTo>
                    <a:cubicBezTo>
                      <a:pt x="452652" y="855261"/>
                      <a:pt x="0" y="791571"/>
                      <a:pt x="0" y="791571"/>
                    </a:cubicBezTo>
                    <a:lnTo>
                      <a:pt x="0" y="791571"/>
                    </a:lnTo>
                  </a:path>
                </a:pathLst>
              </a:custGeom>
              <a:ln w="76200" cmpd="dbl">
                <a:solidFill>
                  <a:schemeClr val="accent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  <xdr:sp macro="" textlink="">
            <xdr:nvSpPr>
              <xdr:cNvPr id="401" name="Freeform 400"/>
              <xdr:cNvSpPr/>
            </xdr:nvSpPr>
            <xdr:spPr>
              <a:xfrm rot="10800000" flipH="1">
                <a:off x="3159442" y="4084320"/>
                <a:ext cx="1280160" cy="365760"/>
              </a:xfrm>
              <a:custGeom>
                <a:avLst/>
                <a:gdLst>
                  <a:gd name="connsiteX0" fmla="*/ 2688609 w 2688609"/>
                  <a:gd name="connsiteY0" fmla="*/ 0 h 855261"/>
                  <a:gd name="connsiteX1" fmla="*/ 900753 w 2688609"/>
                  <a:gd name="connsiteY1" fmla="*/ 723332 h 855261"/>
                  <a:gd name="connsiteX2" fmla="*/ 0 w 2688609"/>
                  <a:gd name="connsiteY2" fmla="*/ 791571 h 855261"/>
                  <a:gd name="connsiteX3" fmla="*/ 0 w 2688609"/>
                  <a:gd name="connsiteY3" fmla="*/ 791571 h 855261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2688609" h="855261">
                    <a:moveTo>
                      <a:pt x="2688609" y="0"/>
                    </a:moveTo>
                    <a:cubicBezTo>
                      <a:pt x="2018732" y="295702"/>
                      <a:pt x="1348855" y="591404"/>
                      <a:pt x="900753" y="723332"/>
                    </a:cubicBezTo>
                    <a:cubicBezTo>
                      <a:pt x="452652" y="855261"/>
                      <a:pt x="0" y="791571"/>
                      <a:pt x="0" y="791571"/>
                    </a:cubicBezTo>
                    <a:lnTo>
                      <a:pt x="0" y="791571"/>
                    </a:lnTo>
                  </a:path>
                </a:pathLst>
              </a:custGeom>
              <a:ln w="76200" cmpd="dbl">
                <a:solidFill>
                  <a:schemeClr val="accent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</xdr:grpSp>
        <xdr:grpSp>
          <xdr:nvGrpSpPr>
            <xdr:cNvPr id="397" name="Group 396"/>
            <xdr:cNvGrpSpPr/>
          </xdr:nvGrpSpPr>
          <xdr:grpSpPr>
            <a:xfrm>
              <a:off x="847725" y="1866900"/>
              <a:ext cx="6448422" cy="4129087"/>
              <a:chOff x="847725" y="1866900"/>
              <a:chExt cx="6448422" cy="4129087"/>
            </a:xfrm>
          </xdr:grpSpPr>
          <xdr:sp macro="" textlink="">
            <xdr:nvSpPr>
              <xdr:cNvPr id="398" name="Arc 397"/>
              <xdr:cNvSpPr/>
            </xdr:nvSpPr>
            <xdr:spPr>
              <a:xfrm>
                <a:off x="847725" y="1866900"/>
                <a:ext cx="4524375" cy="4129087"/>
              </a:xfrm>
              <a:prstGeom prst="arc">
                <a:avLst>
                  <a:gd name="adj1" fmla="val 16200000"/>
                  <a:gd name="adj2" fmla="val 93724"/>
                </a:avLst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  <xdr:sp macro="" textlink="">
            <xdr:nvSpPr>
              <xdr:cNvPr id="399" name="Arc 398"/>
              <xdr:cNvSpPr/>
            </xdr:nvSpPr>
            <xdr:spPr>
              <a:xfrm flipH="1" flipV="1">
                <a:off x="5372096" y="3348036"/>
                <a:ext cx="1924051" cy="1333497"/>
              </a:xfrm>
              <a:prstGeom prst="arc">
                <a:avLst>
                  <a:gd name="adj1" fmla="val 16200000"/>
                  <a:gd name="adj2" fmla="val 93724"/>
                </a:avLst>
              </a:prstGeom>
              <a:ln w="76200" cmpd="dbl"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wrap="square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/>
              </a:p>
            </xdr:txBody>
          </xdr:sp>
        </xdr:grpSp>
      </xdr:grpSp>
      <xdr:grpSp>
        <xdr:nvGrpSpPr>
          <xdr:cNvPr id="361" name="Group 360"/>
          <xdr:cNvGrpSpPr/>
        </xdr:nvGrpSpPr>
        <xdr:grpSpPr>
          <a:xfrm>
            <a:off x="692908" y="1820979"/>
            <a:ext cx="3474720" cy="3474720"/>
            <a:chOff x="2962275" y="2371724"/>
            <a:chExt cx="2562225" cy="2560320"/>
          </a:xfrm>
          <a:scene3d>
            <a:camera prst="perspectiveHeroicExtremeLeftFacing"/>
            <a:lightRig rig="threePt" dir="t"/>
          </a:scene3d>
        </xdr:grpSpPr>
        <xdr:grpSp>
          <xdr:nvGrpSpPr>
            <xdr:cNvPr id="372" name="Group 371"/>
            <xdr:cNvGrpSpPr/>
          </xdr:nvGrpSpPr>
          <xdr:grpSpPr>
            <a:xfrm>
              <a:off x="2962275" y="2371724"/>
              <a:ext cx="2562225" cy="2560320"/>
              <a:chOff x="2962275" y="2371725"/>
              <a:chExt cx="2562225" cy="2486025"/>
            </a:xfrm>
          </xdr:grpSpPr>
          <xdr:sp macro="" textlink="">
            <xdr:nvSpPr>
              <xdr:cNvPr id="374" name="Donut 373"/>
              <xdr:cNvSpPr/>
            </xdr:nvSpPr>
            <xdr:spPr>
              <a:xfrm>
                <a:off x="2962275" y="2371725"/>
                <a:ext cx="2562225" cy="2486025"/>
              </a:xfrm>
              <a:prstGeom prst="donut">
                <a:avLst>
                  <a:gd name="adj" fmla="val 4296"/>
                </a:avLst>
              </a:prstGeom>
              <a:solidFill>
                <a:schemeClr val="tx1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>
                  <a:solidFill>
                    <a:schemeClr val="tx1"/>
                  </a:solidFill>
                </a:endParaRPr>
              </a:p>
            </xdr:txBody>
          </xdr:sp>
          <xdr:sp macro="" textlink="">
            <xdr:nvSpPr>
              <xdr:cNvPr id="375" name="Oval 374"/>
              <xdr:cNvSpPr/>
            </xdr:nvSpPr>
            <xdr:spPr>
              <a:xfrm>
                <a:off x="4143375" y="3524250"/>
                <a:ext cx="209550" cy="209550"/>
              </a:xfrm>
              <a:prstGeom prst="ellipse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cxnSp macro="">
            <xdr:nvCxnSpPr>
              <xdr:cNvPr id="376" name="Straight Connector 375"/>
              <xdr:cNvCxnSpPr>
                <a:stCxn id="375" idx="0"/>
              </xdr:cNvCxnSpPr>
            </xdr:nvCxnSpPr>
            <xdr:spPr>
              <a:xfrm flipV="1">
                <a:off x="4248150" y="2495550"/>
                <a:ext cx="9525" cy="102870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77" name="Straight Connector 376"/>
              <xdr:cNvCxnSpPr/>
            </xdr:nvCxnSpPr>
            <xdr:spPr>
              <a:xfrm flipV="1">
                <a:off x="4314825" y="2790826"/>
                <a:ext cx="733425" cy="75247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78" name="Straight Connector 377"/>
              <xdr:cNvCxnSpPr>
                <a:stCxn id="375" idx="1"/>
              </xdr:cNvCxnSpPr>
            </xdr:nvCxnSpPr>
            <xdr:spPr>
              <a:xfrm flipH="1" flipV="1">
                <a:off x="3429001" y="2819400"/>
                <a:ext cx="745062" cy="735538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79" name="Straight Connector 378"/>
              <xdr:cNvCxnSpPr>
                <a:stCxn id="375" idx="2"/>
              </xdr:cNvCxnSpPr>
            </xdr:nvCxnSpPr>
            <xdr:spPr>
              <a:xfrm flipH="1" flipV="1">
                <a:off x="3076576" y="3609975"/>
                <a:ext cx="1066800" cy="1905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0" name="Straight Connector 379"/>
              <xdr:cNvCxnSpPr/>
            </xdr:nvCxnSpPr>
            <xdr:spPr>
              <a:xfrm flipV="1">
                <a:off x="4229100" y="3695700"/>
                <a:ext cx="9525" cy="102870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1" name="Straight Connector 380"/>
              <xdr:cNvCxnSpPr>
                <a:endCxn id="375" idx="3"/>
              </xdr:cNvCxnSpPr>
            </xdr:nvCxnSpPr>
            <xdr:spPr>
              <a:xfrm flipV="1">
                <a:off x="3419475" y="3703113"/>
                <a:ext cx="754589" cy="668863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2" name="Straight Connector 381"/>
              <xdr:cNvCxnSpPr>
                <a:stCxn id="374" idx="5"/>
              </xdr:cNvCxnSpPr>
            </xdr:nvCxnSpPr>
            <xdr:spPr>
              <a:xfrm flipH="1" flipV="1">
                <a:off x="4324351" y="3714751"/>
                <a:ext cx="824920" cy="77892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3" name="Straight Connector 382"/>
              <xdr:cNvCxnSpPr>
                <a:stCxn id="374" idx="6"/>
                <a:endCxn id="375" idx="6"/>
              </xdr:cNvCxnSpPr>
            </xdr:nvCxnSpPr>
            <xdr:spPr>
              <a:xfrm flipH="1">
                <a:off x="4352925" y="3614738"/>
                <a:ext cx="1171575" cy="14288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4" name="Straight Connector 383"/>
              <xdr:cNvCxnSpPr/>
            </xdr:nvCxnSpPr>
            <xdr:spPr>
              <a:xfrm flipV="1">
                <a:off x="4286250" y="2543175"/>
                <a:ext cx="409575" cy="99060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5" name="Straight Connector 384"/>
              <xdr:cNvCxnSpPr/>
            </xdr:nvCxnSpPr>
            <xdr:spPr>
              <a:xfrm flipH="1">
                <a:off x="4362451" y="3200400"/>
                <a:ext cx="952500" cy="3905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6" name="Straight Connector 385"/>
              <xdr:cNvCxnSpPr/>
            </xdr:nvCxnSpPr>
            <xdr:spPr>
              <a:xfrm flipH="1" flipV="1">
                <a:off x="4350813" y="3684062"/>
                <a:ext cx="1011764" cy="34501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7" name="Straight Connector 386"/>
              <xdr:cNvCxnSpPr/>
            </xdr:nvCxnSpPr>
            <xdr:spPr>
              <a:xfrm flipV="1">
                <a:off x="3790950" y="3743326"/>
                <a:ext cx="409575" cy="90487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8" name="Straight Connector 387"/>
              <xdr:cNvCxnSpPr/>
            </xdr:nvCxnSpPr>
            <xdr:spPr>
              <a:xfrm flipH="1" flipV="1">
                <a:off x="4295775" y="3724277"/>
                <a:ext cx="381000" cy="9334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9" name="Straight Connector 388"/>
              <xdr:cNvCxnSpPr/>
            </xdr:nvCxnSpPr>
            <xdr:spPr>
              <a:xfrm flipH="1" flipV="1">
                <a:off x="3829050" y="2562226"/>
                <a:ext cx="371475" cy="9620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90" name="Straight Connector 389"/>
              <xdr:cNvCxnSpPr/>
            </xdr:nvCxnSpPr>
            <xdr:spPr>
              <a:xfrm flipV="1">
                <a:off x="3181350" y="3676650"/>
                <a:ext cx="962025" cy="34290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91" name="Straight Connector 390"/>
              <xdr:cNvCxnSpPr/>
            </xdr:nvCxnSpPr>
            <xdr:spPr>
              <a:xfrm flipH="1" flipV="1">
                <a:off x="3171825" y="3162301"/>
                <a:ext cx="971550" cy="40957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73" name="Donut 372"/>
            <xdr:cNvSpPr/>
          </xdr:nvSpPr>
          <xdr:spPr>
            <a:xfrm>
              <a:off x="3343274" y="2733676"/>
              <a:ext cx="1828800" cy="1828800"/>
            </a:xfrm>
            <a:prstGeom prst="donut">
              <a:avLst>
                <a:gd name="adj" fmla="val 2675"/>
              </a:avLst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>
                <a:solidFill>
                  <a:schemeClr val="tx1"/>
                </a:solidFill>
              </a:endParaRPr>
            </a:p>
          </xdr:txBody>
        </xdr:sp>
      </xdr:grpSp>
      <xdr:sp macro="" textlink="">
        <xdr:nvSpPr>
          <xdr:cNvPr id="362" name="Rectangle 361"/>
          <xdr:cNvSpPr/>
        </xdr:nvSpPr>
        <xdr:spPr>
          <a:xfrm>
            <a:off x="1914525" y="1019175"/>
            <a:ext cx="342900" cy="123825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363" name="Rectangle 362"/>
          <xdr:cNvSpPr/>
        </xdr:nvSpPr>
        <xdr:spPr>
          <a:xfrm>
            <a:off x="3267075" y="638175"/>
            <a:ext cx="342900" cy="123825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364" name="Block Arc 363"/>
          <xdr:cNvSpPr/>
        </xdr:nvSpPr>
        <xdr:spPr>
          <a:xfrm>
            <a:off x="857250" y="1485899"/>
            <a:ext cx="3343275" cy="3486151"/>
          </a:xfrm>
          <a:prstGeom prst="blockArc">
            <a:avLst>
              <a:gd name="adj1" fmla="val 16687805"/>
              <a:gd name="adj2" fmla="val 20451589"/>
              <a:gd name="adj3" fmla="val 5946"/>
            </a:avLst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>
              <a:solidFill>
                <a:schemeClr val="tx1"/>
              </a:solidFill>
            </a:endParaRPr>
          </a:p>
        </xdr:txBody>
      </xdr:sp>
      <xdr:sp macro="" textlink="">
        <xdr:nvSpPr>
          <xdr:cNvPr id="365" name="Block Arc 364"/>
          <xdr:cNvSpPr/>
        </xdr:nvSpPr>
        <xdr:spPr>
          <a:xfrm>
            <a:off x="2200275" y="1066799"/>
            <a:ext cx="3343275" cy="3486151"/>
          </a:xfrm>
          <a:prstGeom prst="blockArc">
            <a:avLst>
              <a:gd name="adj1" fmla="val 16687805"/>
              <a:gd name="adj2" fmla="val 20451589"/>
              <a:gd name="adj3" fmla="val 5946"/>
            </a:avLst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>
              <a:solidFill>
                <a:schemeClr val="tx1"/>
              </a:solidFill>
            </a:endParaRPr>
          </a:p>
        </xdr:txBody>
      </xdr:sp>
      <xdr:grpSp>
        <xdr:nvGrpSpPr>
          <xdr:cNvPr id="366" name="Group 365"/>
          <xdr:cNvGrpSpPr/>
        </xdr:nvGrpSpPr>
        <xdr:grpSpPr>
          <a:xfrm>
            <a:off x="5581934" y="2582129"/>
            <a:ext cx="603202" cy="870756"/>
            <a:chOff x="5581934" y="2582129"/>
            <a:chExt cx="603202" cy="870756"/>
          </a:xfrm>
        </xdr:grpSpPr>
        <xdr:cxnSp macro="">
          <xdr:nvCxnSpPr>
            <xdr:cNvPr id="370" name="Straight Connector 369"/>
            <xdr:cNvCxnSpPr/>
          </xdr:nvCxnSpPr>
          <xdr:spPr>
            <a:xfrm flipV="1">
              <a:off x="5581934" y="2893326"/>
              <a:ext cx="545911" cy="559559"/>
            </a:xfrm>
            <a:prstGeom prst="line">
              <a:avLst/>
            </a:prstGeom>
            <a:ln w="508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71" name="Arc 370"/>
            <xdr:cNvSpPr/>
          </xdr:nvSpPr>
          <xdr:spPr>
            <a:xfrm rot="3221410">
              <a:off x="5864414" y="2602600"/>
              <a:ext cx="341194" cy="300251"/>
            </a:xfrm>
            <a:prstGeom prst="arc">
              <a:avLst>
                <a:gd name="adj1" fmla="val 16200000"/>
                <a:gd name="adj2" fmla="val 296169"/>
              </a:avLst>
            </a:prstGeom>
            <a:ln w="508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</xdr:grpSp>
      <xdr:sp macro="" textlink="">
        <xdr:nvSpPr>
          <xdr:cNvPr id="367" name="TextBox 16"/>
          <xdr:cNvSpPr txBox="1">
            <a:spLocks noChangeArrowheads="1"/>
          </xdr:cNvSpPr>
        </xdr:nvSpPr>
        <xdr:spPr bwMode="auto">
          <a:xfrm>
            <a:off x="4267200" y="3290817"/>
            <a:ext cx="591316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Seat</a:t>
            </a:r>
          </a:p>
        </xdr:txBody>
      </xdr:sp>
      <xdr:cxnSp macro="">
        <xdr:nvCxnSpPr>
          <xdr:cNvPr id="368" name="Straight Connector 367"/>
          <xdr:cNvCxnSpPr/>
        </xdr:nvCxnSpPr>
        <xdr:spPr>
          <a:xfrm>
            <a:off x="5691116" y="3357349"/>
            <a:ext cx="0" cy="477672"/>
          </a:xfrm>
          <a:prstGeom prst="line">
            <a:avLst/>
          </a:prstGeom>
          <a:ln w="76200" cmpd="dbl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9" name="TextBox 20"/>
          <xdr:cNvSpPr txBox="1">
            <a:spLocks noChangeArrowheads="1"/>
          </xdr:cNvSpPr>
        </xdr:nvSpPr>
        <xdr:spPr bwMode="auto">
          <a:xfrm>
            <a:off x="5824112" y="3451887"/>
            <a:ext cx="971741" cy="36933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r>
              <a:rPr lang="en-US">
                <a:latin typeface="Calibri" pitchFamily="34" charset="0"/>
              </a:rPr>
              <a:t>Lock bar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18</xdr:row>
      <xdr:rowOff>85725</xdr:rowOff>
    </xdr:from>
    <xdr:to>
      <xdr:col>2</xdr:col>
      <xdr:colOff>809625</xdr:colOff>
      <xdr:row>18</xdr:row>
      <xdr:rowOff>95250</xdr:rowOff>
    </xdr:to>
    <xdr:cxnSp macro="">
      <xdr:nvCxnSpPr>
        <xdr:cNvPr id="3" name="Straight Arrow Connector 2"/>
        <xdr:cNvCxnSpPr/>
      </xdr:nvCxnSpPr>
      <xdr:spPr>
        <a:xfrm>
          <a:off x="1876425" y="3400425"/>
          <a:ext cx="8096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676275</xdr:colOff>
      <xdr:row>21</xdr:row>
      <xdr:rowOff>104775</xdr:rowOff>
    </xdr:from>
    <xdr:to>
      <xdr:col>5</xdr:col>
      <xdr:colOff>19050</xdr:colOff>
      <xdr:row>21</xdr:row>
      <xdr:rowOff>104775</xdr:rowOff>
    </xdr:to>
    <xdr:cxnSp macro="">
      <xdr:nvCxnSpPr>
        <xdr:cNvPr id="5" name="Straight Arrow Connector 4"/>
        <xdr:cNvCxnSpPr/>
      </xdr:nvCxnSpPr>
      <xdr:spPr>
        <a:xfrm>
          <a:off x="3371850" y="3962400"/>
          <a:ext cx="105727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21</xdr:row>
      <xdr:rowOff>85725</xdr:rowOff>
    </xdr:from>
    <xdr:to>
      <xdr:col>7</xdr:col>
      <xdr:colOff>38100</xdr:colOff>
      <xdr:row>21</xdr:row>
      <xdr:rowOff>95250</xdr:rowOff>
    </xdr:to>
    <xdr:cxnSp macro="">
      <xdr:nvCxnSpPr>
        <xdr:cNvPr id="6" name="Straight Arrow Connector 5"/>
        <xdr:cNvCxnSpPr/>
      </xdr:nvCxnSpPr>
      <xdr:spPr>
        <a:xfrm>
          <a:off x="5219700" y="3943350"/>
          <a:ext cx="704850" cy="95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21</xdr:row>
      <xdr:rowOff>104775</xdr:rowOff>
    </xdr:from>
    <xdr:to>
      <xdr:col>9</xdr:col>
      <xdr:colOff>19050</xdr:colOff>
      <xdr:row>21</xdr:row>
      <xdr:rowOff>114300</xdr:rowOff>
    </xdr:to>
    <xdr:cxnSp macro="">
      <xdr:nvCxnSpPr>
        <xdr:cNvPr id="7" name="Straight Arrow Connector 6"/>
        <xdr:cNvCxnSpPr/>
      </xdr:nvCxnSpPr>
      <xdr:spPr>
        <a:xfrm>
          <a:off x="6572250" y="3962400"/>
          <a:ext cx="704850" cy="95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428625</xdr:colOff>
      <xdr:row>19</xdr:row>
      <xdr:rowOff>0</xdr:rowOff>
    </xdr:from>
    <xdr:to>
      <xdr:col>5</xdr:col>
      <xdr:colOff>381000</xdr:colOff>
      <xdr:row>20</xdr:row>
      <xdr:rowOff>171450</xdr:rowOff>
    </xdr:to>
    <xdr:cxnSp macro="">
      <xdr:nvCxnSpPr>
        <xdr:cNvPr id="8" name="Straight Arrow Connector 7"/>
        <xdr:cNvCxnSpPr/>
      </xdr:nvCxnSpPr>
      <xdr:spPr>
        <a:xfrm flipH="1">
          <a:off x="3124200" y="3495675"/>
          <a:ext cx="1666875" cy="3524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18</xdr:row>
      <xdr:rowOff>85725</xdr:rowOff>
    </xdr:from>
    <xdr:to>
      <xdr:col>5</xdr:col>
      <xdr:colOff>28575</xdr:colOff>
      <xdr:row>18</xdr:row>
      <xdr:rowOff>85725</xdr:rowOff>
    </xdr:to>
    <xdr:cxnSp macro="">
      <xdr:nvCxnSpPr>
        <xdr:cNvPr id="21" name="Straight Arrow Connector 20"/>
        <xdr:cNvCxnSpPr/>
      </xdr:nvCxnSpPr>
      <xdr:spPr>
        <a:xfrm>
          <a:off x="3381375" y="3400425"/>
          <a:ext cx="105727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24</xdr:row>
      <xdr:rowOff>85725</xdr:rowOff>
    </xdr:from>
    <xdr:to>
      <xdr:col>5</xdr:col>
      <xdr:colOff>38100</xdr:colOff>
      <xdr:row>24</xdr:row>
      <xdr:rowOff>85725</xdr:rowOff>
    </xdr:to>
    <xdr:cxnSp macro="">
      <xdr:nvCxnSpPr>
        <xdr:cNvPr id="22" name="Straight Arrow Connector 21"/>
        <xdr:cNvCxnSpPr/>
      </xdr:nvCxnSpPr>
      <xdr:spPr>
        <a:xfrm>
          <a:off x="3390900" y="4486275"/>
          <a:ext cx="105727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21</xdr:row>
      <xdr:rowOff>171450</xdr:rowOff>
    </xdr:from>
    <xdr:to>
      <xdr:col>9</xdr:col>
      <xdr:colOff>0</xdr:colOff>
      <xdr:row>24</xdr:row>
      <xdr:rowOff>104776</xdr:rowOff>
    </xdr:to>
    <xdr:cxnSp macro="">
      <xdr:nvCxnSpPr>
        <xdr:cNvPr id="23" name="Straight Arrow Connector 22"/>
        <xdr:cNvCxnSpPr/>
      </xdr:nvCxnSpPr>
      <xdr:spPr>
        <a:xfrm flipV="1">
          <a:off x="5200650" y="4048125"/>
          <a:ext cx="2057400" cy="476251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171450</xdr:colOff>
      <xdr:row>18</xdr:row>
      <xdr:rowOff>161925</xdr:rowOff>
    </xdr:from>
    <xdr:to>
      <xdr:col>9</xdr:col>
      <xdr:colOff>0</xdr:colOff>
      <xdr:row>21</xdr:row>
      <xdr:rowOff>0</xdr:rowOff>
    </xdr:to>
    <xdr:cxnSp macro="">
      <xdr:nvCxnSpPr>
        <xdr:cNvPr id="25" name="Straight Arrow Connector 24"/>
        <xdr:cNvCxnSpPr/>
      </xdr:nvCxnSpPr>
      <xdr:spPr>
        <a:xfrm>
          <a:off x="6743700" y="3476625"/>
          <a:ext cx="514350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485775</xdr:colOff>
      <xdr:row>18</xdr:row>
      <xdr:rowOff>95250</xdr:rowOff>
    </xdr:from>
    <xdr:to>
      <xdr:col>1</xdr:col>
      <xdr:colOff>0</xdr:colOff>
      <xdr:row>18</xdr:row>
      <xdr:rowOff>104775</xdr:rowOff>
    </xdr:to>
    <xdr:cxnSp macro="">
      <xdr:nvCxnSpPr>
        <xdr:cNvPr id="26" name="Straight Arrow Connector 25"/>
        <xdr:cNvCxnSpPr/>
      </xdr:nvCxnSpPr>
      <xdr:spPr>
        <a:xfrm>
          <a:off x="485775" y="3409950"/>
          <a:ext cx="704850" cy="95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428625</xdr:colOff>
      <xdr:row>24</xdr:row>
      <xdr:rowOff>95250</xdr:rowOff>
    </xdr:from>
    <xdr:to>
      <xdr:col>3</xdr:col>
      <xdr:colOff>9525</xdr:colOff>
      <xdr:row>24</xdr:row>
      <xdr:rowOff>95250</xdr:rowOff>
    </xdr:to>
    <xdr:cxnSp macro="">
      <xdr:nvCxnSpPr>
        <xdr:cNvPr id="27" name="Straight Arrow Connector 26"/>
        <xdr:cNvCxnSpPr/>
      </xdr:nvCxnSpPr>
      <xdr:spPr>
        <a:xfrm>
          <a:off x="2305050" y="4514850"/>
          <a:ext cx="400050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I4"/>
  <sheetViews>
    <sheetView zoomScale="84" zoomScaleNormal="84" workbookViewId="0">
      <selection activeCell="M14" sqref="M14"/>
    </sheetView>
  </sheetViews>
  <sheetFormatPr defaultRowHeight="14.25" x14ac:dyDescent="0.2"/>
  <cols>
    <col min="1" max="1" width="6.125" customWidth="1"/>
  </cols>
  <sheetData>
    <row r="2" spans="2:9" ht="18" x14ac:dyDescent="0.25">
      <c r="B2" s="32" t="s">
        <v>225</v>
      </c>
    </row>
    <row r="3" spans="2:9" ht="15" x14ac:dyDescent="0.25">
      <c r="B3" s="1" t="s">
        <v>321</v>
      </c>
      <c r="I3" s="44" t="s">
        <v>325</v>
      </c>
    </row>
    <row r="4" spans="2:9" ht="15" x14ac:dyDescent="0.25">
      <c r="I4" s="44" t="s">
        <v>324</v>
      </c>
    </row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1"/>
  <sheetViews>
    <sheetView workbookViewId="0"/>
  </sheetViews>
  <sheetFormatPr defaultRowHeight="14.25" x14ac:dyDescent="0.2"/>
  <cols>
    <col min="3" max="3" width="30.75" customWidth="1"/>
    <col min="4" max="4" width="10.375" customWidth="1"/>
    <col min="5" max="5" width="11.125" customWidth="1"/>
  </cols>
  <sheetData>
    <row r="1" spans="1:10" ht="15" x14ac:dyDescent="0.25">
      <c r="B1" s="1"/>
    </row>
    <row r="2" spans="1:10" ht="18" x14ac:dyDescent="0.25">
      <c r="B2" s="32" t="s">
        <v>225</v>
      </c>
    </row>
    <row r="3" spans="1:10" ht="15" x14ac:dyDescent="0.25">
      <c r="B3" s="1" t="s">
        <v>0</v>
      </c>
    </row>
    <row r="5" spans="1:10" x14ac:dyDescent="0.2">
      <c r="A5" s="3" t="s">
        <v>1</v>
      </c>
      <c r="B5" s="3" t="s">
        <v>2</v>
      </c>
      <c r="C5" s="3" t="s">
        <v>3</v>
      </c>
      <c r="D5" s="5" t="s">
        <v>119</v>
      </c>
      <c r="E5" s="5"/>
    </row>
    <row r="6" spans="1:10" x14ac:dyDescent="0.2">
      <c r="A6" s="4" t="s">
        <v>322</v>
      </c>
      <c r="B6">
        <v>1</v>
      </c>
      <c r="C6" t="s">
        <v>59</v>
      </c>
      <c r="D6" s="16">
        <v>225</v>
      </c>
      <c r="F6" s="16"/>
    </row>
    <row r="7" spans="1:10" x14ac:dyDescent="0.2">
      <c r="A7" s="4" t="s">
        <v>6</v>
      </c>
      <c r="B7">
        <v>2</v>
      </c>
      <c r="C7" t="s">
        <v>7</v>
      </c>
      <c r="D7" s="16">
        <v>30</v>
      </c>
    </row>
    <row r="8" spans="1:10" x14ac:dyDescent="0.2">
      <c r="A8" s="4" t="s">
        <v>8</v>
      </c>
      <c r="B8">
        <v>1</v>
      </c>
      <c r="C8" t="s">
        <v>229</v>
      </c>
      <c r="D8" s="16">
        <v>4.2</v>
      </c>
      <c r="F8" s="16"/>
      <c r="J8" s="16"/>
    </row>
    <row r="9" spans="1:10" x14ac:dyDescent="0.2">
      <c r="A9" s="4" t="s">
        <v>9</v>
      </c>
      <c r="B9" t="s">
        <v>90</v>
      </c>
      <c r="C9" t="s">
        <v>237</v>
      </c>
      <c r="F9" s="16"/>
    </row>
    <row r="10" spans="1:10" x14ac:dyDescent="0.2">
      <c r="A10" s="4" t="s">
        <v>8</v>
      </c>
      <c r="B10">
        <v>1</v>
      </c>
      <c r="C10" t="s">
        <v>10</v>
      </c>
      <c r="D10" s="16">
        <v>3.1</v>
      </c>
      <c r="J10" s="16"/>
    </row>
    <row r="11" spans="1:10" x14ac:dyDescent="0.2">
      <c r="A11" s="4" t="s">
        <v>9</v>
      </c>
      <c r="B11" t="s">
        <v>91</v>
      </c>
      <c r="C11" t="s">
        <v>237</v>
      </c>
    </row>
    <row r="12" spans="1:10" x14ac:dyDescent="0.2">
      <c r="A12" s="4" t="s">
        <v>8</v>
      </c>
      <c r="B12">
        <v>1</v>
      </c>
      <c r="C12" t="s">
        <v>231</v>
      </c>
      <c r="D12" s="16">
        <v>3</v>
      </c>
      <c r="J12" s="16"/>
    </row>
    <row r="13" spans="1:10" x14ac:dyDescent="0.2">
      <c r="A13" s="4" t="s">
        <v>9</v>
      </c>
      <c r="B13" t="s">
        <v>92</v>
      </c>
      <c r="C13" t="s">
        <v>237</v>
      </c>
    </row>
    <row r="14" spans="1:10" x14ac:dyDescent="0.2">
      <c r="A14" s="4" t="s">
        <v>8</v>
      </c>
      <c r="B14">
        <v>1</v>
      </c>
      <c r="C14" t="s">
        <v>232</v>
      </c>
      <c r="D14" s="16">
        <v>1.6</v>
      </c>
      <c r="J14" s="16"/>
    </row>
    <row r="15" spans="1:10" x14ac:dyDescent="0.2">
      <c r="A15" s="4" t="s">
        <v>9</v>
      </c>
      <c r="B15" t="s">
        <v>93</v>
      </c>
      <c r="C15" t="s">
        <v>237</v>
      </c>
    </row>
    <row r="16" spans="1:10" x14ac:dyDescent="0.2">
      <c r="A16" s="4" t="s">
        <v>8</v>
      </c>
      <c r="B16">
        <v>1</v>
      </c>
      <c r="C16" t="s">
        <v>11</v>
      </c>
      <c r="D16" s="16">
        <v>1.1000000000000001</v>
      </c>
      <c r="I16" s="16"/>
      <c r="J16" s="16"/>
    </row>
    <row r="17" spans="1:10" x14ac:dyDescent="0.2">
      <c r="A17" s="4" t="s">
        <v>9</v>
      </c>
      <c r="B17" t="s">
        <v>93</v>
      </c>
      <c r="C17" t="s">
        <v>237</v>
      </c>
    </row>
    <row r="18" spans="1:10" x14ac:dyDescent="0.2">
      <c r="A18" s="4" t="s">
        <v>8</v>
      </c>
      <c r="B18">
        <v>1</v>
      </c>
      <c r="C18" t="s">
        <v>230</v>
      </c>
      <c r="D18" s="16">
        <v>0.6</v>
      </c>
      <c r="I18" s="16"/>
      <c r="J18" s="16"/>
    </row>
    <row r="19" spans="1:10" x14ac:dyDescent="0.2">
      <c r="A19" s="4" t="s">
        <v>9</v>
      </c>
      <c r="B19" t="s">
        <v>94</v>
      </c>
      <c r="C19" t="s">
        <v>239</v>
      </c>
      <c r="I19" s="16"/>
      <c r="J19" s="16"/>
    </row>
    <row r="20" spans="1:10" x14ac:dyDescent="0.2">
      <c r="A20" s="4" t="s">
        <v>6</v>
      </c>
      <c r="B20">
        <v>2</v>
      </c>
      <c r="C20" t="s">
        <v>233</v>
      </c>
      <c r="D20" s="16">
        <v>12</v>
      </c>
    </row>
    <row r="21" spans="1:10" x14ac:dyDescent="0.2">
      <c r="A21" s="4" t="s">
        <v>8</v>
      </c>
      <c r="B21">
        <v>1</v>
      </c>
      <c r="C21" t="s">
        <v>12</v>
      </c>
      <c r="D21" s="16">
        <v>3.2</v>
      </c>
      <c r="J21" s="16"/>
    </row>
    <row r="22" spans="1:10" x14ac:dyDescent="0.2">
      <c r="A22" s="4" t="s">
        <v>9</v>
      </c>
      <c r="B22" t="s">
        <v>95</v>
      </c>
      <c r="C22" t="s">
        <v>238</v>
      </c>
    </row>
    <row r="23" spans="1:10" x14ac:dyDescent="0.2">
      <c r="A23" s="4" t="s">
        <v>8</v>
      </c>
      <c r="B23">
        <v>1</v>
      </c>
      <c r="C23" t="s">
        <v>14</v>
      </c>
      <c r="D23" s="16">
        <v>2.6</v>
      </c>
      <c r="J23" s="16"/>
    </row>
    <row r="24" spans="1:10" x14ac:dyDescent="0.2">
      <c r="A24" s="4" t="s">
        <v>9</v>
      </c>
      <c r="B24" t="s">
        <v>95</v>
      </c>
      <c r="C24" t="s">
        <v>238</v>
      </c>
      <c r="J24" s="16"/>
    </row>
    <row r="25" spans="1:10" x14ac:dyDescent="0.2">
      <c r="A25" s="4" t="s">
        <v>8</v>
      </c>
      <c r="B25">
        <v>1</v>
      </c>
      <c r="C25" t="s">
        <v>234</v>
      </c>
      <c r="D25" s="16">
        <v>1.3</v>
      </c>
      <c r="J25" s="16"/>
    </row>
    <row r="26" spans="1:10" x14ac:dyDescent="0.2">
      <c r="A26" s="4" t="s">
        <v>9</v>
      </c>
      <c r="B26" t="s">
        <v>96</v>
      </c>
      <c r="C26" t="s">
        <v>238</v>
      </c>
      <c r="H26" s="16"/>
      <c r="J26" s="16"/>
    </row>
    <row r="27" spans="1:10" x14ac:dyDescent="0.2">
      <c r="A27" s="4" t="s">
        <v>6</v>
      </c>
      <c r="B27">
        <v>2</v>
      </c>
      <c r="C27" t="s">
        <v>15</v>
      </c>
      <c r="D27" s="16">
        <v>9</v>
      </c>
      <c r="H27" s="16"/>
    </row>
    <row r="28" spans="1:10" x14ac:dyDescent="0.2">
      <c r="A28" s="4" t="s">
        <v>8</v>
      </c>
      <c r="B28">
        <v>1</v>
      </c>
      <c r="C28" t="s">
        <v>16</v>
      </c>
      <c r="D28" s="16">
        <v>3</v>
      </c>
      <c r="H28" s="16"/>
      <c r="J28" s="16"/>
    </row>
    <row r="29" spans="1:10" x14ac:dyDescent="0.2">
      <c r="A29" s="4" t="s">
        <v>8</v>
      </c>
      <c r="B29">
        <v>1</v>
      </c>
      <c r="C29" t="s">
        <v>17</v>
      </c>
      <c r="D29" s="16">
        <v>4.5999999999999996</v>
      </c>
      <c r="H29" s="16"/>
      <c r="J29" s="16"/>
    </row>
    <row r="30" spans="1:10" x14ac:dyDescent="0.2">
      <c r="A30" s="4" t="s">
        <v>9</v>
      </c>
      <c r="B30">
        <v>1</v>
      </c>
      <c r="C30" t="s">
        <v>230</v>
      </c>
      <c r="D30" s="16">
        <v>2.2000000000000002</v>
      </c>
      <c r="H30" s="16"/>
    </row>
    <row r="31" spans="1:10" x14ac:dyDescent="0.2">
      <c r="A31" s="4" t="s">
        <v>13</v>
      </c>
      <c r="B31" t="s">
        <v>97</v>
      </c>
      <c r="C31" t="s">
        <v>237</v>
      </c>
      <c r="J31" s="16"/>
    </row>
    <row r="32" spans="1:10" x14ac:dyDescent="0.2">
      <c r="A32" s="4" t="s">
        <v>6</v>
      </c>
      <c r="B32">
        <v>2</v>
      </c>
      <c r="C32" t="s">
        <v>18</v>
      </c>
      <c r="D32" s="16">
        <v>25</v>
      </c>
      <c r="H32" s="16"/>
    </row>
    <row r="33" spans="1:4" x14ac:dyDescent="0.2">
      <c r="A33" s="4" t="s">
        <v>8</v>
      </c>
      <c r="B33">
        <v>1</v>
      </c>
      <c r="C33" t="s">
        <v>19</v>
      </c>
      <c r="D33" s="16">
        <v>20</v>
      </c>
    </row>
    <row r="34" spans="1:4" x14ac:dyDescent="0.2">
      <c r="A34" s="4" t="s">
        <v>8</v>
      </c>
      <c r="B34">
        <v>1</v>
      </c>
      <c r="C34" t="s">
        <v>74</v>
      </c>
      <c r="D34" s="16">
        <v>5</v>
      </c>
    </row>
    <row r="35" spans="1:4" x14ac:dyDescent="0.2">
      <c r="A35" s="4" t="s">
        <v>9</v>
      </c>
      <c r="B35">
        <v>1</v>
      </c>
      <c r="C35" t="s">
        <v>20</v>
      </c>
      <c r="D35" s="16">
        <v>4</v>
      </c>
    </row>
    <row r="36" spans="1:4" x14ac:dyDescent="0.2">
      <c r="A36" s="4" t="s">
        <v>13</v>
      </c>
      <c r="B36" t="s">
        <v>98</v>
      </c>
      <c r="C36" t="s">
        <v>237</v>
      </c>
    </row>
    <row r="37" spans="1:4" x14ac:dyDescent="0.2">
      <c r="A37" s="4" t="s">
        <v>6</v>
      </c>
      <c r="B37">
        <v>2</v>
      </c>
      <c r="C37" t="s">
        <v>21</v>
      </c>
      <c r="D37" s="16">
        <v>9</v>
      </c>
    </row>
    <row r="38" spans="1:4" x14ac:dyDescent="0.2">
      <c r="A38" s="4" t="s">
        <v>8</v>
      </c>
      <c r="B38">
        <v>1</v>
      </c>
      <c r="C38" t="s">
        <v>235</v>
      </c>
      <c r="D38" s="16">
        <v>3.2</v>
      </c>
    </row>
    <row r="39" spans="1:4" x14ac:dyDescent="0.2">
      <c r="A39" s="4" t="s">
        <v>9</v>
      </c>
      <c r="B39" t="s">
        <v>100</v>
      </c>
      <c r="C39" t="s">
        <v>238</v>
      </c>
    </row>
    <row r="40" spans="1:4" x14ac:dyDescent="0.2">
      <c r="A40" s="4" t="s">
        <v>8</v>
      </c>
      <c r="B40">
        <v>1</v>
      </c>
      <c r="C40" t="s">
        <v>22</v>
      </c>
      <c r="D40" s="16">
        <v>0.75</v>
      </c>
    </row>
    <row r="41" spans="1:4" x14ac:dyDescent="0.2">
      <c r="A41" s="4" t="s">
        <v>8</v>
      </c>
      <c r="B41">
        <v>1</v>
      </c>
      <c r="C41" t="s">
        <v>236</v>
      </c>
      <c r="D41" s="16">
        <v>2</v>
      </c>
    </row>
    <row r="42" spans="1:4" x14ac:dyDescent="0.2">
      <c r="A42" s="4" t="s">
        <v>9</v>
      </c>
      <c r="B42" t="s">
        <v>99</v>
      </c>
      <c r="C42" t="s">
        <v>238</v>
      </c>
    </row>
    <row r="43" spans="1:4" x14ac:dyDescent="0.2">
      <c r="A43" s="4" t="s">
        <v>24</v>
      </c>
      <c r="B43">
        <v>1</v>
      </c>
      <c r="C43" t="s">
        <v>23</v>
      </c>
      <c r="D43" s="16">
        <v>0.37</v>
      </c>
    </row>
    <row r="44" spans="1:4" x14ac:dyDescent="0.2">
      <c r="A44" s="4" t="s">
        <v>24</v>
      </c>
      <c r="B44">
        <v>1</v>
      </c>
      <c r="C44" t="s">
        <v>75</v>
      </c>
      <c r="D44" s="16">
        <v>1.2</v>
      </c>
    </row>
    <row r="45" spans="1:4" x14ac:dyDescent="0.2">
      <c r="A45" s="4" t="s">
        <v>8</v>
      </c>
      <c r="B45" t="s">
        <v>94</v>
      </c>
      <c r="C45" t="s">
        <v>238</v>
      </c>
    </row>
    <row r="46" spans="1:4" x14ac:dyDescent="0.2">
      <c r="A46" s="4" t="s">
        <v>24</v>
      </c>
      <c r="B46">
        <v>1</v>
      </c>
      <c r="C46" t="s">
        <v>25</v>
      </c>
      <c r="D46" s="16">
        <v>11.5</v>
      </c>
    </row>
    <row r="47" spans="1:4" x14ac:dyDescent="0.2">
      <c r="A47" s="4" t="s">
        <v>26</v>
      </c>
      <c r="B47" t="s">
        <v>101</v>
      </c>
      <c r="C47" t="s">
        <v>240</v>
      </c>
    </row>
    <row r="48" spans="1:4" x14ac:dyDescent="0.2">
      <c r="A48" s="4" t="s">
        <v>24</v>
      </c>
      <c r="B48">
        <v>1</v>
      </c>
      <c r="C48" t="s">
        <v>27</v>
      </c>
      <c r="D48" s="16">
        <v>19</v>
      </c>
    </row>
    <row r="49" spans="1:4" x14ac:dyDescent="0.2">
      <c r="A49" s="4" t="s">
        <v>26</v>
      </c>
      <c r="B49" t="s">
        <v>101</v>
      </c>
      <c r="C49" t="s">
        <v>240</v>
      </c>
    </row>
    <row r="50" spans="1:4" x14ac:dyDescent="0.2">
      <c r="A50" s="4" t="s">
        <v>24</v>
      </c>
      <c r="B50">
        <v>2</v>
      </c>
      <c r="C50" t="s">
        <v>28</v>
      </c>
      <c r="D50" s="16">
        <v>1.1299999999999999</v>
      </c>
    </row>
    <row r="51" spans="1:4" x14ac:dyDescent="0.2">
      <c r="A51" s="4" t="s">
        <v>24</v>
      </c>
      <c r="B51">
        <v>2</v>
      </c>
      <c r="C51" t="s">
        <v>29</v>
      </c>
      <c r="D51" s="16">
        <v>1.2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9"/>
  <sheetViews>
    <sheetView workbookViewId="0">
      <selection activeCell="B1" sqref="B1"/>
    </sheetView>
  </sheetViews>
  <sheetFormatPr defaultRowHeight="14.25" x14ac:dyDescent="0.2"/>
  <cols>
    <col min="3" max="3" width="22.75" customWidth="1"/>
    <col min="4" max="4" width="22.125" customWidth="1"/>
    <col min="5" max="5" width="15.5" customWidth="1"/>
  </cols>
  <sheetData>
    <row r="1" spans="1:9" ht="15" x14ac:dyDescent="0.25">
      <c r="C1" s="1"/>
    </row>
    <row r="2" spans="1:9" ht="18" x14ac:dyDescent="0.25">
      <c r="C2" s="32" t="s">
        <v>225</v>
      </c>
    </row>
    <row r="3" spans="1:9" ht="15" x14ac:dyDescent="0.25">
      <c r="C3" s="1" t="s">
        <v>52</v>
      </c>
      <c r="E3" s="7"/>
    </row>
    <row r="4" spans="1:9" x14ac:dyDescent="0.2">
      <c r="E4" s="8"/>
    </row>
    <row r="5" spans="1:9" x14ac:dyDescent="0.2">
      <c r="A5" s="3" t="s">
        <v>1</v>
      </c>
      <c r="B5" s="3" t="s">
        <v>2</v>
      </c>
      <c r="C5" s="3" t="s">
        <v>53</v>
      </c>
      <c r="D5" s="3" t="s">
        <v>54</v>
      </c>
      <c r="E5" s="3" t="s">
        <v>55</v>
      </c>
      <c r="F5" s="3" t="s">
        <v>56</v>
      </c>
      <c r="H5" s="22"/>
      <c r="I5" s="22"/>
    </row>
    <row r="6" spans="1:9" x14ac:dyDescent="0.2">
      <c r="A6" s="4" t="s">
        <v>4</v>
      </c>
      <c r="C6" t="s">
        <v>5</v>
      </c>
      <c r="D6" t="s">
        <v>57</v>
      </c>
      <c r="E6" t="s">
        <v>79</v>
      </c>
      <c r="F6">
        <v>5</v>
      </c>
    </row>
    <row r="7" spans="1:9" x14ac:dyDescent="0.2">
      <c r="A7" s="4" t="s">
        <v>58</v>
      </c>
      <c r="B7">
        <v>1</v>
      </c>
      <c r="C7" t="s">
        <v>59</v>
      </c>
      <c r="D7" t="s">
        <v>323</v>
      </c>
      <c r="E7" t="s">
        <v>79</v>
      </c>
      <c r="F7">
        <v>44</v>
      </c>
    </row>
    <row r="8" spans="1:9" x14ac:dyDescent="0.2">
      <c r="A8" s="4" t="s">
        <v>6</v>
      </c>
      <c r="B8">
        <v>2</v>
      </c>
      <c r="C8" t="s">
        <v>7</v>
      </c>
      <c r="D8" t="s">
        <v>60</v>
      </c>
      <c r="E8" t="s">
        <v>42</v>
      </c>
      <c r="F8">
        <v>30</v>
      </c>
    </row>
    <row r="9" spans="1:9" x14ac:dyDescent="0.2">
      <c r="A9" s="4"/>
      <c r="D9" t="s">
        <v>190</v>
      </c>
      <c r="E9" s="9" t="s">
        <v>196</v>
      </c>
      <c r="F9">
        <v>6</v>
      </c>
    </row>
    <row r="10" spans="1:9" x14ac:dyDescent="0.2">
      <c r="A10" s="4"/>
      <c r="D10" t="s">
        <v>61</v>
      </c>
      <c r="E10" s="9" t="s">
        <v>62</v>
      </c>
      <c r="F10">
        <v>8</v>
      </c>
    </row>
    <row r="11" spans="1:9" x14ac:dyDescent="0.2">
      <c r="A11" s="4" t="s">
        <v>8</v>
      </c>
      <c r="B11">
        <v>1</v>
      </c>
      <c r="C11" t="s">
        <v>229</v>
      </c>
      <c r="D11" t="s">
        <v>63</v>
      </c>
      <c r="E11" s="9" t="s">
        <v>64</v>
      </c>
      <c r="F11">
        <v>0.5</v>
      </c>
    </row>
    <row r="12" spans="1:9" x14ac:dyDescent="0.2">
      <c r="A12" s="4"/>
      <c r="D12" t="s">
        <v>65</v>
      </c>
      <c r="E12" s="9" t="s">
        <v>66</v>
      </c>
      <c r="F12">
        <v>2</v>
      </c>
    </row>
    <row r="13" spans="1:9" x14ac:dyDescent="0.2">
      <c r="A13" s="4"/>
      <c r="D13" t="s">
        <v>67</v>
      </c>
      <c r="E13" s="9" t="s">
        <v>68</v>
      </c>
      <c r="F13">
        <v>3</v>
      </c>
    </row>
    <row r="14" spans="1:9" x14ac:dyDescent="0.2">
      <c r="A14" s="4" t="s">
        <v>8</v>
      </c>
      <c r="B14">
        <v>1</v>
      </c>
      <c r="C14" t="s">
        <v>10</v>
      </c>
      <c r="D14" t="s">
        <v>63</v>
      </c>
      <c r="E14" s="9" t="s">
        <v>64</v>
      </c>
      <c r="F14">
        <v>0.5</v>
      </c>
    </row>
    <row r="15" spans="1:9" x14ac:dyDescent="0.2">
      <c r="A15" s="4"/>
      <c r="D15" t="s">
        <v>69</v>
      </c>
      <c r="E15" s="9" t="s">
        <v>68</v>
      </c>
      <c r="F15">
        <v>2</v>
      </c>
    </row>
    <row r="16" spans="1:9" x14ac:dyDescent="0.2">
      <c r="A16" s="4" t="s">
        <v>8</v>
      </c>
      <c r="B16">
        <v>1</v>
      </c>
      <c r="C16" t="s">
        <v>231</v>
      </c>
      <c r="D16" t="s">
        <v>70</v>
      </c>
      <c r="E16" s="9" t="s">
        <v>64</v>
      </c>
      <c r="F16">
        <v>0.2</v>
      </c>
    </row>
    <row r="17" spans="1:6" x14ac:dyDescent="0.2">
      <c r="A17" s="4"/>
      <c r="D17" t="s">
        <v>67</v>
      </c>
      <c r="E17" s="9" t="s">
        <v>68</v>
      </c>
      <c r="F17">
        <v>3</v>
      </c>
    </row>
    <row r="18" spans="1:6" x14ac:dyDescent="0.2">
      <c r="A18" s="4" t="s">
        <v>8</v>
      </c>
      <c r="B18">
        <v>1</v>
      </c>
      <c r="C18" t="s">
        <v>232</v>
      </c>
      <c r="D18" t="s">
        <v>63</v>
      </c>
      <c r="E18" s="9" t="s">
        <v>64</v>
      </c>
      <c r="F18">
        <v>0.5</v>
      </c>
    </row>
    <row r="19" spans="1:6" x14ac:dyDescent="0.2">
      <c r="A19" s="4"/>
      <c r="D19" t="s">
        <v>69</v>
      </c>
      <c r="E19" s="9" t="s">
        <v>68</v>
      </c>
      <c r="F19">
        <v>2</v>
      </c>
    </row>
    <row r="20" spans="1:6" x14ac:dyDescent="0.2">
      <c r="A20" s="4" t="s">
        <v>8</v>
      </c>
      <c r="B20">
        <v>1</v>
      </c>
      <c r="C20" t="s">
        <v>11</v>
      </c>
      <c r="D20" t="s">
        <v>63</v>
      </c>
      <c r="E20" s="9" t="s">
        <v>64</v>
      </c>
      <c r="F20">
        <v>0.5</v>
      </c>
    </row>
    <row r="21" spans="1:6" x14ac:dyDescent="0.2">
      <c r="A21" s="4" t="s">
        <v>8</v>
      </c>
      <c r="B21">
        <v>1</v>
      </c>
      <c r="C21" t="s">
        <v>230</v>
      </c>
      <c r="D21" t="s">
        <v>70</v>
      </c>
      <c r="E21" s="9" t="s">
        <v>64</v>
      </c>
      <c r="F21">
        <v>0.2</v>
      </c>
    </row>
    <row r="22" spans="1:6" x14ac:dyDescent="0.2">
      <c r="A22" s="4" t="s">
        <v>6</v>
      </c>
      <c r="B22">
        <v>2</v>
      </c>
      <c r="C22" t="s">
        <v>233</v>
      </c>
      <c r="D22" t="s">
        <v>60</v>
      </c>
      <c r="E22" s="9" t="s">
        <v>42</v>
      </c>
      <c r="F22">
        <v>8</v>
      </c>
    </row>
    <row r="23" spans="1:6" x14ac:dyDescent="0.2">
      <c r="D23" t="s">
        <v>190</v>
      </c>
      <c r="E23" s="9" t="s">
        <v>196</v>
      </c>
      <c r="F23">
        <v>2</v>
      </c>
    </row>
    <row r="24" spans="1:6" x14ac:dyDescent="0.2">
      <c r="A24" s="4"/>
      <c r="D24" t="s">
        <v>61</v>
      </c>
      <c r="E24" s="9" t="s">
        <v>62</v>
      </c>
      <c r="F24">
        <v>6</v>
      </c>
    </row>
    <row r="25" spans="1:6" x14ac:dyDescent="0.2">
      <c r="A25" s="4" t="s">
        <v>8</v>
      </c>
      <c r="B25">
        <v>1</v>
      </c>
      <c r="C25" t="s">
        <v>12</v>
      </c>
      <c r="D25" t="s">
        <v>191</v>
      </c>
      <c r="E25" s="9" t="s">
        <v>64</v>
      </c>
      <c r="F25">
        <v>1.2</v>
      </c>
    </row>
    <row r="26" spans="1:6" x14ac:dyDescent="0.2">
      <c r="A26" s="4"/>
      <c r="D26" t="s">
        <v>65</v>
      </c>
      <c r="E26" s="9" t="s">
        <v>66</v>
      </c>
      <c r="F26">
        <v>2</v>
      </c>
    </row>
    <row r="27" spans="1:6" x14ac:dyDescent="0.2">
      <c r="A27" s="4" t="s">
        <v>8</v>
      </c>
      <c r="B27">
        <v>1</v>
      </c>
      <c r="C27" t="s">
        <v>14</v>
      </c>
      <c r="D27" t="s">
        <v>70</v>
      </c>
      <c r="E27" s="9" t="s">
        <v>64</v>
      </c>
      <c r="F27">
        <v>0.2</v>
      </c>
    </row>
    <row r="28" spans="1:6" x14ac:dyDescent="0.2">
      <c r="A28" s="4" t="s">
        <v>8</v>
      </c>
      <c r="B28">
        <v>1</v>
      </c>
      <c r="C28" t="s">
        <v>234</v>
      </c>
      <c r="D28" t="s">
        <v>70</v>
      </c>
      <c r="E28" s="9" t="s">
        <v>64</v>
      </c>
      <c r="F28">
        <v>0.2</v>
      </c>
    </row>
    <row r="29" spans="1:6" x14ac:dyDescent="0.2">
      <c r="A29" s="4" t="s">
        <v>6</v>
      </c>
      <c r="B29">
        <v>2</v>
      </c>
      <c r="C29" t="s">
        <v>15</v>
      </c>
      <c r="D29" t="s">
        <v>72</v>
      </c>
      <c r="E29" s="9" t="s">
        <v>79</v>
      </c>
      <c r="F29">
        <v>4</v>
      </c>
    </row>
    <row r="30" spans="1:6" x14ac:dyDescent="0.2">
      <c r="A30" s="4" t="s">
        <v>8</v>
      </c>
      <c r="B30">
        <v>1</v>
      </c>
      <c r="C30" t="s">
        <v>16</v>
      </c>
    </row>
    <row r="31" spans="1:6" x14ac:dyDescent="0.2">
      <c r="A31" s="4" t="s">
        <v>8</v>
      </c>
      <c r="B31">
        <v>1</v>
      </c>
      <c r="C31" t="s">
        <v>17</v>
      </c>
      <c r="D31" t="s">
        <v>60</v>
      </c>
      <c r="E31" s="9" t="s">
        <v>42</v>
      </c>
      <c r="F31">
        <v>2</v>
      </c>
    </row>
    <row r="32" spans="1:6" x14ac:dyDescent="0.2">
      <c r="D32" t="s">
        <v>192</v>
      </c>
      <c r="E32" s="9" t="s">
        <v>196</v>
      </c>
      <c r="F32">
        <v>4</v>
      </c>
    </row>
    <row r="33" spans="1:6" x14ac:dyDescent="0.2">
      <c r="A33" s="4"/>
      <c r="D33" t="s">
        <v>61</v>
      </c>
      <c r="E33" s="9" t="s">
        <v>62</v>
      </c>
      <c r="F33">
        <v>2</v>
      </c>
    </row>
    <row r="34" spans="1:6" x14ac:dyDescent="0.2">
      <c r="A34" s="4" t="s">
        <v>9</v>
      </c>
      <c r="B34">
        <v>1</v>
      </c>
      <c r="C34" t="s">
        <v>230</v>
      </c>
      <c r="D34" t="s">
        <v>70</v>
      </c>
      <c r="E34" s="9" t="s">
        <v>64</v>
      </c>
      <c r="F34">
        <v>0.2</v>
      </c>
    </row>
    <row r="35" spans="1:6" x14ac:dyDescent="0.2">
      <c r="A35" s="4"/>
      <c r="D35" t="s">
        <v>71</v>
      </c>
      <c r="E35" s="9" t="s">
        <v>66</v>
      </c>
      <c r="F35">
        <v>2</v>
      </c>
    </row>
    <row r="36" spans="1:6" x14ac:dyDescent="0.2">
      <c r="A36" s="4"/>
      <c r="D36" t="s">
        <v>69</v>
      </c>
      <c r="E36" s="9" t="s">
        <v>68</v>
      </c>
      <c r="F36">
        <v>2</v>
      </c>
    </row>
    <row r="37" spans="1:6" x14ac:dyDescent="0.2">
      <c r="A37" s="4" t="s">
        <v>6</v>
      </c>
      <c r="B37">
        <v>2</v>
      </c>
      <c r="C37" t="s">
        <v>18</v>
      </c>
      <c r="D37" t="s">
        <v>73</v>
      </c>
      <c r="E37" s="9" t="s">
        <v>79</v>
      </c>
      <c r="F37">
        <v>4</v>
      </c>
    </row>
    <row r="38" spans="1:6" x14ac:dyDescent="0.2">
      <c r="A38" s="4" t="s">
        <v>8</v>
      </c>
      <c r="B38">
        <v>1</v>
      </c>
      <c r="C38" t="s">
        <v>19</v>
      </c>
      <c r="E38" s="9"/>
    </row>
    <row r="39" spans="1:6" x14ac:dyDescent="0.2">
      <c r="A39" s="4" t="s">
        <v>8</v>
      </c>
      <c r="B39">
        <v>1</v>
      </c>
      <c r="C39" t="s">
        <v>74</v>
      </c>
      <c r="D39" t="s">
        <v>60</v>
      </c>
      <c r="E39" s="9" t="s">
        <v>42</v>
      </c>
      <c r="F39">
        <v>3</v>
      </c>
    </row>
    <row r="40" spans="1:6" x14ac:dyDescent="0.2">
      <c r="A40" s="4"/>
      <c r="D40" t="s">
        <v>190</v>
      </c>
      <c r="E40" s="9" t="s">
        <v>196</v>
      </c>
      <c r="F40">
        <v>2</v>
      </c>
    </row>
    <row r="41" spans="1:6" x14ac:dyDescent="0.2">
      <c r="A41" s="4" t="s">
        <v>9</v>
      </c>
      <c r="B41">
        <v>1</v>
      </c>
      <c r="C41" t="s">
        <v>20</v>
      </c>
      <c r="D41" t="s">
        <v>70</v>
      </c>
      <c r="E41" s="9" t="s">
        <v>64</v>
      </c>
      <c r="F41">
        <v>0.2</v>
      </c>
    </row>
    <row r="42" spans="1:6" x14ac:dyDescent="0.2">
      <c r="D42" t="s">
        <v>193</v>
      </c>
      <c r="E42" s="9" t="s">
        <v>68</v>
      </c>
      <c r="F42">
        <v>2</v>
      </c>
    </row>
    <row r="43" spans="1:6" x14ac:dyDescent="0.2">
      <c r="A43" s="4"/>
      <c r="D43" t="s">
        <v>160</v>
      </c>
      <c r="E43" s="9" t="s">
        <v>66</v>
      </c>
      <c r="F43">
        <v>2</v>
      </c>
    </row>
    <row r="44" spans="1:6" x14ac:dyDescent="0.2">
      <c r="A44" s="4" t="s">
        <v>6</v>
      </c>
      <c r="B44">
        <v>2</v>
      </c>
      <c r="C44" t="s">
        <v>21</v>
      </c>
      <c r="D44" t="s">
        <v>60</v>
      </c>
      <c r="E44" s="9" t="s">
        <v>42</v>
      </c>
      <c r="F44">
        <v>10</v>
      </c>
    </row>
    <row r="45" spans="1:6" x14ac:dyDescent="0.2">
      <c r="D45" t="s">
        <v>194</v>
      </c>
      <c r="E45" s="9" t="s">
        <v>196</v>
      </c>
      <c r="F45">
        <v>3</v>
      </c>
    </row>
    <row r="46" spans="1:6" x14ac:dyDescent="0.2">
      <c r="A46" s="4"/>
      <c r="D46" t="s">
        <v>61</v>
      </c>
      <c r="E46" s="9" t="s">
        <v>62</v>
      </c>
      <c r="F46">
        <v>3</v>
      </c>
    </row>
    <row r="47" spans="1:6" x14ac:dyDescent="0.2">
      <c r="A47" s="4" t="s">
        <v>8</v>
      </c>
      <c r="B47">
        <v>1</v>
      </c>
      <c r="C47" t="s">
        <v>235</v>
      </c>
      <c r="D47" t="s">
        <v>63</v>
      </c>
      <c r="E47" s="9" t="s">
        <v>64</v>
      </c>
      <c r="F47">
        <v>0.5</v>
      </c>
    </row>
    <row r="48" spans="1:6" x14ac:dyDescent="0.2">
      <c r="D48" t="s">
        <v>69</v>
      </c>
      <c r="E48" s="9" t="s">
        <v>68</v>
      </c>
      <c r="F48">
        <v>2</v>
      </c>
    </row>
    <row r="49" spans="1:6" x14ac:dyDescent="0.2">
      <c r="A49" s="4" t="s">
        <v>8</v>
      </c>
      <c r="B49">
        <v>1</v>
      </c>
      <c r="C49" t="s">
        <v>22</v>
      </c>
      <c r="E49" s="9"/>
    </row>
    <row r="50" spans="1:6" x14ac:dyDescent="0.2">
      <c r="A50" s="4" t="s">
        <v>8</v>
      </c>
      <c r="B50">
        <v>1</v>
      </c>
      <c r="C50" t="s">
        <v>236</v>
      </c>
      <c r="D50" t="s">
        <v>70</v>
      </c>
      <c r="E50" s="9" t="s">
        <v>64</v>
      </c>
      <c r="F50">
        <v>0.2</v>
      </c>
    </row>
    <row r="51" spans="1:6" x14ac:dyDescent="0.2">
      <c r="A51" s="4" t="s">
        <v>6</v>
      </c>
      <c r="B51">
        <v>1</v>
      </c>
      <c r="C51" t="s">
        <v>23</v>
      </c>
      <c r="E51" s="9"/>
    </row>
    <row r="52" spans="1:6" x14ac:dyDescent="0.2">
      <c r="A52" s="4" t="s">
        <v>6</v>
      </c>
      <c r="B52">
        <v>1</v>
      </c>
      <c r="C52" t="s">
        <v>75</v>
      </c>
      <c r="D52" t="s">
        <v>70</v>
      </c>
      <c r="E52" s="9" t="s">
        <v>64</v>
      </c>
      <c r="F52">
        <v>0.2</v>
      </c>
    </row>
    <row r="53" spans="1:6" x14ac:dyDescent="0.2">
      <c r="A53" s="4"/>
      <c r="D53" t="s">
        <v>69</v>
      </c>
      <c r="E53" s="9" t="s">
        <v>68</v>
      </c>
      <c r="F53">
        <v>1</v>
      </c>
    </row>
    <row r="54" spans="1:6" x14ac:dyDescent="0.2">
      <c r="A54" s="4" t="s">
        <v>24</v>
      </c>
      <c r="B54">
        <v>1</v>
      </c>
      <c r="C54" t="s">
        <v>25</v>
      </c>
      <c r="D54" t="s">
        <v>70</v>
      </c>
      <c r="E54" s="9" t="s">
        <v>76</v>
      </c>
      <c r="F54">
        <v>4</v>
      </c>
    </row>
    <row r="55" spans="1:6" x14ac:dyDescent="0.2">
      <c r="D55" t="s">
        <v>77</v>
      </c>
      <c r="E55" s="9" t="s">
        <v>38</v>
      </c>
      <c r="F55">
        <v>12</v>
      </c>
    </row>
    <row r="56" spans="1:6" x14ac:dyDescent="0.2">
      <c r="A56" s="4" t="s">
        <v>24</v>
      </c>
      <c r="B56">
        <v>1</v>
      </c>
      <c r="C56" t="s">
        <v>27</v>
      </c>
      <c r="D56" t="s">
        <v>70</v>
      </c>
      <c r="E56" s="9" t="s">
        <v>76</v>
      </c>
      <c r="F56">
        <v>8</v>
      </c>
    </row>
    <row r="57" spans="1:6" x14ac:dyDescent="0.2">
      <c r="D57" t="s">
        <v>80</v>
      </c>
      <c r="E57" s="9" t="s">
        <v>38</v>
      </c>
      <c r="F57">
        <v>30</v>
      </c>
    </row>
    <row r="58" spans="1:6" x14ac:dyDescent="0.2">
      <c r="A58" s="4" t="s">
        <v>24</v>
      </c>
      <c r="B58">
        <v>2</v>
      </c>
      <c r="C58" t="s">
        <v>28</v>
      </c>
      <c r="E58" s="9"/>
    </row>
    <row r="59" spans="1:6" x14ac:dyDescent="0.2">
      <c r="A59" s="4" t="s">
        <v>24</v>
      </c>
      <c r="B59">
        <v>2</v>
      </c>
      <c r="C59" t="s">
        <v>29</v>
      </c>
      <c r="E59" s="9"/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5"/>
  <sheetViews>
    <sheetView workbookViewId="0"/>
  </sheetViews>
  <sheetFormatPr defaultRowHeight="14.25" x14ac:dyDescent="0.2"/>
  <cols>
    <col min="1" max="1" width="13.75" customWidth="1"/>
    <col min="3" max="3" width="10.75" customWidth="1"/>
    <col min="4" max="4" width="9" customWidth="1"/>
    <col min="5" max="5" width="13.5" customWidth="1"/>
    <col min="6" max="6" width="10.375" customWidth="1"/>
    <col min="12" max="12" width="3.25" customWidth="1"/>
    <col min="14" max="14" width="9.625" customWidth="1"/>
  </cols>
  <sheetData>
    <row r="1" spans="1:16" ht="18" x14ac:dyDescent="0.25">
      <c r="B1" s="32" t="s">
        <v>226</v>
      </c>
    </row>
    <row r="2" spans="1:16" ht="15" x14ac:dyDescent="0.25">
      <c r="B2" s="1" t="s">
        <v>227</v>
      </c>
    </row>
    <row r="4" spans="1:16" x14ac:dyDescent="0.2">
      <c r="B4" t="s">
        <v>30</v>
      </c>
      <c r="F4" t="s">
        <v>199</v>
      </c>
      <c r="K4" t="s">
        <v>242</v>
      </c>
      <c r="M4" t="s">
        <v>347</v>
      </c>
    </row>
    <row r="5" spans="1:16" x14ac:dyDescent="0.2">
      <c r="A5" s="3" t="s">
        <v>31</v>
      </c>
      <c r="B5" s="3" t="s">
        <v>2</v>
      </c>
      <c r="C5" s="3" t="s">
        <v>32</v>
      </c>
      <c r="D5" s="5" t="s">
        <v>47</v>
      </c>
      <c r="E5" s="3" t="s">
        <v>33</v>
      </c>
      <c r="F5" s="5" t="s">
        <v>46</v>
      </c>
      <c r="G5" s="5" t="s">
        <v>44</v>
      </c>
      <c r="H5" s="5" t="s">
        <v>45</v>
      </c>
      <c r="I5" s="5" t="s">
        <v>106</v>
      </c>
      <c r="J5" s="5" t="s">
        <v>200</v>
      </c>
      <c r="K5" s="5" t="s">
        <v>161</v>
      </c>
      <c r="M5" s="5" t="s">
        <v>348</v>
      </c>
      <c r="N5" s="22"/>
      <c r="O5" s="22"/>
      <c r="P5" s="22"/>
    </row>
    <row r="6" spans="1:16" x14ac:dyDescent="0.2">
      <c r="A6" t="s">
        <v>34</v>
      </c>
      <c r="B6">
        <f>IF('Lean ideas'!F23="yes",2,1)</f>
        <v>1</v>
      </c>
      <c r="C6">
        <f>IF('Lean ideas'!H12="yes", 0.4,2)</f>
        <v>2</v>
      </c>
      <c r="D6">
        <v>14</v>
      </c>
      <c r="E6" t="s">
        <v>333</v>
      </c>
      <c r="F6">
        <v>10.4</v>
      </c>
      <c r="G6" s="6">
        <f>90% +IF('Lean ideas'!F9="yes",6%,0%)-IF('Lean ideas'!F18="yes",3%,0%)</f>
        <v>0.9</v>
      </c>
      <c r="H6" s="43">
        <f>IF('Lean ideas'!F19="yes",99.5%,97%)</f>
        <v>0.97</v>
      </c>
      <c r="I6" s="43">
        <v>1</v>
      </c>
      <c r="J6" s="20">
        <f>IF('Lean ideas'!$F$8="yes",20,40)</f>
        <v>40</v>
      </c>
      <c r="K6">
        <f>IF('Lean ideas'!$F$16="yes",0,2)</f>
        <v>2</v>
      </c>
      <c r="M6" s="23">
        <f>Capacity!B21/(24*Capacity!$I$3*G6*H6*I6)</f>
        <v>0.2800050910016546</v>
      </c>
      <c r="P6" s="23"/>
    </row>
    <row r="7" spans="1:16" x14ac:dyDescent="0.2">
      <c r="A7" t="s">
        <v>35</v>
      </c>
      <c r="B7">
        <f>IF('Lean ideas'!H23="yes",2,1)</f>
        <v>1</v>
      </c>
      <c r="C7">
        <f>IF('Lean ideas'!F13="yes", 0.4,2)</f>
        <v>2</v>
      </c>
      <c r="D7">
        <v>4</v>
      </c>
      <c r="E7" t="s">
        <v>49</v>
      </c>
      <c r="F7">
        <v>16</v>
      </c>
      <c r="G7" s="6">
        <f>90% +IF('Lean ideas'!H9="yes",6%,0%)-IF('Lean ideas'!F18="yes",3%,0%)</f>
        <v>0.9</v>
      </c>
      <c r="H7" s="43">
        <f>IF('Lean ideas'!H19="yes",99.5%,97%)</f>
        <v>0.97</v>
      </c>
      <c r="I7" s="43">
        <f>IF('Lean ideas'!F14="yes",99.6%,98%)</f>
        <v>0.98</v>
      </c>
      <c r="J7" s="20">
        <f>IF('Lean ideas'!$F$8="yes",20,40)</f>
        <v>40</v>
      </c>
      <c r="K7">
        <f>IF('Lean ideas'!$F$16="yes",0,2)</f>
        <v>2</v>
      </c>
      <c r="M7" s="23">
        <f>Capacity!B22/(24*Capacity!$I$3*G7*H7*I7)</f>
        <v>0.3636429753268241</v>
      </c>
      <c r="P7" s="23"/>
    </row>
    <row r="8" spans="1:16" x14ac:dyDescent="0.2">
      <c r="A8" t="s">
        <v>51</v>
      </c>
      <c r="B8">
        <f>IF('Lean ideas'!J23="yes",2,1)</f>
        <v>1</v>
      </c>
      <c r="C8">
        <f>IF('Lean ideas'!J12="yes", 1,5)</f>
        <v>5</v>
      </c>
      <c r="D8">
        <v>8</v>
      </c>
      <c r="E8" t="s">
        <v>50</v>
      </c>
      <c r="F8">
        <v>33</v>
      </c>
      <c r="G8" s="6">
        <f>90% +IF('Lean ideas'!J9="yes",6%,0%)-IF('Lean ideas'!F18="yes",3%,0%)</f>
        <v>0.9</v>
      </c>
      <c r="H8" s="43">
        <f>IF('Lean ideas'!J19="yes",99.8%,99%)</f>
        <v>0.99</v>
      </c>
      <c r="I8" s="43">
        <f>IF('Lean ideas'!H14="yes",99.6%,98%)</f>
        <v>0.98</v>
      </c>
      <c r="J8" s="20">
        <f>IF('Lean ideas'!$F$8="yes",20,40)</f>
        <v>40</v>
      </c>
      <c r="K8">
        <v>2</v>
      </c>
      <c r="M8" s="23">
        <f>Capacity!B23/(24*Capacity!$I$3*G8*H8*I8)</f>
        <v>0.75925120016830783</v>
      </c>
      <c r="P8" s="23"/>
    </row>
    <row r="9" spans="1:16" x14ac:dyDescent="0.2">
      <c r="A9" t="s">
        <v>42</v>
      </c>
      <c r="B9">
        <f>IF('Lean ideas'!F24="yes",3,2)</f>
        <v>2</v>
      </c>
      <c r="C9">
        <f>IF('Lean ideas'!F13="yes", 2,10)</f>
        <v>10</v>
      </c>
      <c r="D9">
        <v>5</v>
      </c>
      <c r="E9" t="s">
        <v>41</v>
      </c>
      <c r="F9">
        <v>106</v>
      </c>
      <c r="G9" s="6">
        <f>90% +IF('Lean ideas'!F10="yes",6%,0%)-IF('Lean ideas'!H18="yes",3%,0%)</f>
        <v>0.9</v>
      </c>
      <c r="H9" s="43">
        <f>IF('Lean ideas'!F20="yes",99%,95%)</f>
        <v>0.95</v>
      </c>
      <c r="I9" s="43">
        <f>IF('Lean ideas'!J14="yes",99%,95%)</f>
        <v>0.95</v>
      </c>
      <c r="J9" s="20">
        <f>IF('Lean ideas'!$H$8="yes",20,40)</f>
        <v>40</v>
      </c>
      <c r="K9">
        <f>IF('Lean ideas'!$F$16="yes",0,2)</f>
        <v>2</v>
      </c>
      <c r="M9" s="23">
        <f>Capacity!B24/(24*Capacity!$I$3*G9*H9*I9)</f>
        <v>2.4850951289855572</v>
      </c>
      <c r="P9" s="23"/>
    </row>
    <row r="10" spans="1:16" x14ac:dyDescent="0.2">
      <c r="A10" t="s">
        <v>196</v>
      </c>
      <c r="B10">
        <f>IF('Lean ideas'!H24="yes",2,1)</f>
        <v>1</v>
      </c>
      <c r="C10">
        <v>0</v>
      </c>
      <c r="D10">
        <v>5</v>
      </c>
      <c r="E10" t="s">
        <v>39</v>
      </c>
      <c r="F10">
        <v>34</v>
      </c>
      <c r="G10" s="6">
        <f>90% +IF('Lean ideas'!H10="yes",6%,0%)-IF('Lean ideas'!H18="yes",3%,0%)</f>
        <v>0.9</v>
      </c>
      <c r="H10" s="43">
        <v>1</v>
      </c>
      <c r="I10" s="43">
        <v>1</v>
      </c>
      <c r="J10" s="20">
        <f>IF('Lean ideas'!$H$8="yes",20,40)</f>
        <v>40</v>
      </c>
      <c r="K10">
        <f>IF('Lean ideas'!$F$16="yes",0,2)</f>
        <v>2</v>
      </c>
      <c r="M10" s="23">
        <f>Capacity!B25/(24*Capacity!$I$3*G10*H10*I10)</f>
        <v>0.70987654320987659</v>
      </c>
      <c r="P10" s="23"/>
    </row>
    <row r="11" spans="1:16" x14ac:dyDescent="0.2">
      <c r="A11" t="s">
        <v>36</v>
      </c>
      <c r="B11">
        <f>IF('Lean ideas'!J24="yes",2,1)</f>
        <v>1</v>
      </c>
      <c r="C11">
        <f>IF('Lean ideas'!H13="yes", 3,15)</f>
        <v>15</v>
      </c>
      <c r="D11">
        <v>4</v>
      </c>
      <c r="E11" t="s">
        <v>40</v>
      </c>
      <c r="F11">
        <v>38</v>
      </c>
      <c r="G11" s="6">
        <f>90% +IF('Lean ideas'!J10="yes",6%,0%)-IF('Lean ideas'!H18="yes",3%,0%)</f>
        <v>0.9</v>
      </c>
      <c r="H11" s="43">
        <f>IF('Lean ideas'!H20="yes",99.5%,98%)</f>
        <v>0.98</v>
      </c>
      <c r="I11" s="43">
        <v>1</v>
      </c>
      <c r="J11" s="20">
        <f>IF('Lean ideas'!$H$8="yes",20,40)</f>
        <v>40</v>
      </c>
      <c r="K11">
        <v>2</v>
      </c>
      <c r="M11" s="23">
        <f>Capacity!B26/(24*Capacity!$I$3*G11*H11*I11)</f>
        <v>0.86923658352229782</v>
      </c>
      <c r="P11" s="23"/>
    </row>
    <row r="12" spans="1:16" x14ac:dyDescent="0.2">
      <c r="A12" t="s">
        <v>37</v>
      </c>
      <c r="B12">
        <f>IF('Lean ideas'!F25="yes",2,1)</f>
        <v>1</v>
      </c>
      <c r="C12">
        <v>0</v>
      </c>
      <c r="D12">
        <v>2</v>
      </c>
      <c r="E12" t="s">
        <v>43</v>
      </c>
      <c r="F12">
        <v>12</v>
      </c>
      <c r="G12" s="6">
        <f>90% +IF('Lean ideas'!F11="yes",6%,0%)-IF('Lean ideas'!J18="yes",3%,0%)</f>
        <v>0.9</v>
      </c>
      <c r="H12" s="43">
        <v>1</v>
      </c>
      <c r="I12" s="43">
        <v>1</v>
      </c>
      <c r="J12" s="20">
        <f>IF('Lean ideas'!$J$8="yes",10,20)</f>
        <v>20</v>
      </c>
      <c r="K12">
        <f>IF('Lean ideas'!$F$16="yes",0,2)</f>
        <v>2</v>
      </c>
      <c r="M12" s="23">
        <f>Capacity!B27/(24*Capacity!$I$3*G12*H12*I12)</f>
        <v>0.2551440329218107</v>
      </c>
      <c r="P12" s="23"/>
    </row>
    <row r="13" spans="1:16" x14ac:dyDescent="0.2">
      <c r="A13" t="s">
        <v>38</v>
      </c>
      <c r="B13">
        <f>IF('Lean ideas'!H25="yes",3,2)</f>
        <v>2</v>
      </c>
      <c r="C13">
        <f>IF('Lean ideas'!J13="yes", 1,5)</f>
        <v>5</v>
      </c>
      <c r="D13">
        <v>2</v>
      </c>
      <c r="E13" t="s">
        <v>48</v>
      </c>
      <c r="F13">
        <v>42</v>
      </c>
      <c r="G13" s="6">
        <f>90% +IF('Lean ideas'!H11="yes",6%,0%)-IF('Lean ideas'!J18="yes",3%,0%)</f>
        <v>0.9</v>
      </c>
      <c r="H13" s="43">
        <f>IF('Lean ideas'!J20="yes",99%,95%)</f>
        <v>0.95</v>
      </c>
      <c r="I13" s="43">
        <f>IF('Lean ideas'!F15="yes",99.6%,98%)</f>
        <v>0.98</v>
      </c>
      <c r="J13" s="20">
        <f>IF('Lean ideas'!$J$8="yes",10,20)</f>
        <v>20</v>
      </c>
      <c r="K13">
        <v>2</v>
      </c>
      <c r="M13" s="23">
        <f>Capacity!B28/(24*Capacity!$I$3*G13*H13*I13)</f>
        <v>0.95918809369101765</v>
      </c>
      <c r="P13" s="23"/>
    </row>
    <row r="14" spans="1:16" x14ac:dyDescent="0.2">
      <c r="A14" t="s">
        <v>79</v>
      </c>
      <c r="B14">
        <f>IF('Lean ideas'!J25="yes",3,2)</f>
        <v>2</v>
      </c>
      <c r="C14">
        <v>0</v>
      </c>
      <c r="D14">
        <v>3</v>
      </c>
      <c r="E14" t="s">
        <v>195</v>
      </c>
      <c r="F14">
        <v>65</v>
      </c>
      <c r="G14" s="6">
        <f>90% +IF('Lean ideas'!J11="yes",6%,0%)</f>
        <v>0.9</v>
      </c>
      <c r="H14" s="43">
        <v>1</v>
      </c>
      <c r="I14" s="43">
        <f>IF('Lean ideas'!H15="yes",99.8%,99%)</f>
        <v>0.99</v>
      </c>
      <c r="J14" s="20">
        <v>1</v>
      </c>
      <c r="K14">
        <v>0</v>
      </c>
      <c r="M14" s="23">
        <f>Capacity!B29/(24*Capacity!$I$3*G14*H14*I14)</f>
        <v>1.3509581410815981</v>
      </c>
      <c r="P14" s="23"/>
    </row>
    <row r="15" spans="1:16" x14ac:dyDescent="0.2">
      <c r="P15" s="23"/>
    </row>
    <row r="19" spans="1:10" x14ac:dyDescent="0.2">
      <c r="A19" t="s">
        <v>154</v>
      </c>
      <c r="B19" s="34" t="s">
        <v>64</v>
      </c>
      <c r="D19" s="34" t="s">
        <v>256</v>
      </c>
      <c r="F19" s="34" t="s">
        <v>68</v>
      </c>
      <c r="H19" t="s">
        <v>258</v>
      </c>
    </row>
    <row r="21" spans="1:10" x14ac:dyDescent="0.2">
      <c r="E21" s="60" t="s">
        <v>365</v>
      </c>
      <c r="I21" s="60" t="s">
        <v>365</v>
      </c>
    </row>
    <row r="22" spans="1:10" x14ac:dyDescent="0.2">
      <c r="D22" s="34" t="s">
        <v>42</v>
      </c>
      <c r="F22" s="34" t="s">
        <v>190</v>
      </c>
      <c r="H22" s="34" t="s">
        <v>61</v>
      </c>
      <c r="J22" s="34" t="s">
        <v>79</v>
      </c>
    </row>
    <row r="23" spans="1:10" x14ac:dyDescent="0.2">
      <c r="I23" s="61"/>
    </row>
    <row r="25" spans="1:10" x14ac:dyDescent="0.2">
      <c r="C25" t="s">
        <v>271</v>
      </c>
      <c r="D25" s="34" t="s">
        <v>76</v>
      </c>
      <c r="F25" s="34" t="s">
        <v>38</v>
      </c>
    </row>
  </sheetData>
  <sheetProtection sheet="1" objects="1" scenario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7"/>
  <sheetViews>
    <sheetView workbookViewId="0"/>
  </sheetViews>
  <sheetFormatPr defaultRowHeight="14.25" x14ac:dyDescent="0.2"/>
  <cols>
    <col min="1" max="1" width="15.25" customWidth="1"/>
    <col min="2" max="2" width="8.25" customWidth="1"/>
    <col min="3" max="3" width="11.25" customWidth="1"/>
    <col min="4" max="4" width="18.75" customWidth="1"/>
    <col min="5" max="5" width="10.375" customWidth="1"/>
    <col min="6" max="6" width="8.25" customWidth="1"/>
    <col min="7" max="7" width="10.125" customWidth="1"/>
    <col min="8" max="8" width="10.375" customWidth="1"/>
    <col min="9" max="9" width="9.875" customWidth="1"/>
    <col min="10" max="10" width="10.5" customWidth="1"/>
    <col min="11" max="11" width="11.125" customWidth="1"/>
    <col min="12" max="12" width="7.625" customWidth="1"/>
    <col min="13" max="13" width="12" customWidth="1"/>
  </cols>
  <sheetData>
    <row r="1" spans="1:15" ht="18" x14ac:dyDescent="0.25">
      <c r="C1" s="32" t="s">
        <v>226</v>
      </c>
      <c r="E1" s="27"/>
      <c r="F1" s="27"/>
      <c r="G1" s="27"/>
      <c r="H1" s="27"/>
      <c r="I1" s="27"/>
      <c r="J1" s="27"/>
      <c r="K1" s="27"/>
    </row>
    <row r="2" spans="1:15" ht="15" x14ac:dyDescent="0.25">
      <c r="C2" s="1" t="s">
        <v>166</v>
      </c>
      <c r="H2">
        <v>200</v>
      </c>
      <c r="I2" t="s">
        <v>201</v>
      </c>
    </row>
    <row r="3" spans="1:15" x14ac:dyDescent="0.2">
      <c r="E3" t="s">
        <v>312</v>
      </c>
      <c r="F3" t="s">
        <v>213</v>
      </c>
      <c r="M3" s="40"/>
      <c r="N3" s="40"/>
      <c r="O3" s="40"/>
    </row>
    <row r="4" spans="1:15" x14ac:dyDescent="0.2">
      <c r="A4" s="3" t="s">
        <v>81</v>
      </c>
      <c r="B4" s="3" t="s">
        <v>153</v>
      </c>
      <c r="C4" s="3" t="s">
        <v>82</v>
      </c>
      <c r="D4" s="3" t="s">
        <v>83</v>
      </c>
      <c r="E4" s="3" t="s">
        <v>202</v>
      </c>
      <c r="F4" s="5" t="s">
        <v>212</v>
      </c>
      <c r="G4" s="3" t="s">
        <v>282</v>
      </c>
      <c r="H4" s="3" t="s">
        <v>283</v>
      </c>
      <c r="I4" s="3" t="s">
        <v>243</v>
      </c>
      <c r="J4" s="5" t="s">
        <v>45</v>
      </c>
      <c r="K4" s="5" t="s">
        <v>162</v>
      </c>
      <c r="M4" s="22"/>
      <c r="N4" s="22"/>
      <c r="O4" s="22"/>
    </row>
    <row r="5" spans="1:15" x14ac:dyDescent="0.2">
      <c r="A5" t="s">
        <v>237</v>
      </c>
      <c r="B5" t="s">
        <v>154</v>
      </c>
      <c r="C5" t="s">
        <v>241</v>
      </c>
      <c r="D5" t="s">
        <v>203</v>
      </c>
      <c r="E5">
        <f>IF('Lean ideas'!F22="yes",5,10)</f>
        <v>10</v>
      </c>
      <c r="F5">
        <f>IF('Lean ideas'!F22="yes",0,100)</f>
        <v>100</v>
      </c>
      <c r="G5">
        <v>8</v>
      </c>
      <c r="H5" s="10">
        <v>225</v>
      </c>
      <c r="I5" s="11">
        <f t="shared" ref="I5:I10" si="0">H5/G5</f>
        <v>28.125</v>
      </c>
      <c r="J5" s="6">
        <f>IF('Lean ideas'!F21="yes",99%,95%)</f>
        <v>0.95</v>
      </c>
      <c r="K5" s="10">
        <f>IF('Lean ideas'!F21="yes",50,200)</f>
        <v>200</v>
      </c>
      <c r="M5" s="40"/>
      <c r="N5" s="40"/>
      <c r="O5" s="41"/>
    </row>
    <row r="6" spans="1:15" x14ac:dyDescent="0.2">
      <c r="A6" t="s">
        <v>238</v>
      </c>
      <c r="B6" t="s">
        <v>154</v>
      </c>
      <c r="C6" t="s">
        <v>332</v>
      </c>
      <c r="D6" t="s">
        <v>203</v>
      </c>
      <c r="E6">
        <f>IF('Lean ideas'!F22="yes",3,10)</f>
        <v>10</v>
      </c>
      <c r="F6">
        <f>IF('Lean ideas'!F22="yes",0,100)</f>
        <v>100</v>
      </c>
      <c r="G6">
        <v>17</v>
      </c>
      <c r="H6" s="10">
        <v>300</v>
      </c>
      <c r="I6" s="11">
        <f t="shared" si="0"/>
        <v>17.647058823529413</v>
      </c>
      <c r="J6" s="6">
        <f>IF('Lean ideas'!F21="yes",99%,95%)</f>
        <v>0.95</v>
      </c>
      <c r="K6" s="10">
        <f>IF('Lean ideas'!F21="yes",50,200)</f>
        <v>200</v>
      </c>
      <c r="M6" s="40"/>
      <c r="N6" s="40"/>
      <c r="O6" s="41"/>
    </row>
    <row r="7" spans="1:15" x14ac:dyDescent="0.2">
      <c r="A7" t="s">
        <v>239</v>
      </c>
      <c r="B7" t="s">
        <v>154</v>
      </c>
      <c r="C7" t="s">
        <v>87</v>
      </c>
      <c r="D7" t="s">
        <v>203</v>
      </c>
      <c r="E7">
        <f>IF('Lean ideas'!F22="yes",3,10)</f>
        <v>10</v>
      </c>
      <c r="F7">
        <f>IF('Lean ideas'!F22="yes",0,100)</f>
        <v>100</v>
      </c>
      <c r="G7">
        <v>600</v>
      </c>
      <c r="H7" s="10">
        <v>500</v>
      </c>
      <c r="I7" s="11">
        <f t="shared" si="0"/>
        <v>0.83333333333333337</v>
      </c>
      <c r="J7" s="6">
        <f>IF('Lean ideas'!F21="yes",99%,95%)</f>
        <v>0.95</v>
      </c>
      <c r="K7" s="10">
        <f>IF('Lean ideas'!F21="yes",50,200)</f>
        <v>200</v>
      </c>
      <c r="M7" s="40"/>
      <c r="N7" s="40"/>
      <c r="O7" s="41"/>
    </row>
    <row r="8" spans="1:15" x14ac:dyDescent="0.2">
      <c r="A8" t="s">
        <v>240</v>
      </c>
      <c r="B8" t="s">
        <v>271</v>
      </c>
      <c r="C8" t="s">
        <v>102</v>
      </c>
      <c r="D8" t="s">
        <v>88</v>
      </c>
      <c r="E8">
        <f>IF('Lean ideas'!H22="yes",3,12)</f>
        <v>12</v>
      </c>
      <c r="F8">
        <f>IF('Lean ideas'!H22="yes",0,100)</f>
        <v>100</v>
      </c>
      <c r="G8">
        <v>50</v>
      </c>
      <c r="H8" s="10">
        <v>450</v>
      </c>
      <c r="I8" s="11">
        <f t="shared" si="0"/>
        <v>9</v>
      </c>
      <c r="J8" s="6">
        <f>IF('Lean ideas'!H21="yes",98%,90%)</f>
        <v>0.9</v>
      </c>
      <c r="K8" s="10">
        <f>IF('Lean ideas'!H21="yes",50,200)</f>
        <v>200</v>
      </c>
      <c r="M8" s="40"/>
      <c r="N8" s="40"/>
      <c r="O8" s="41"/>
    </row>
    <row r="9" spans="1:15" x14ac:dyDescent="0.2">
      <c r="A9" t="s">
        <v>16</v>
      </c>
      <c r="B9" t="s">
        <v>156</v>
      </c>
      <c r="C9">
        <v>2</v>
      </c>
      <c r="D9" t="s">
        <v>85</v>
      </c>
      <c r="E9">
        <f>IF('Lean ideas'!J22="yes",2,8)</f>
        <v>8</v>
      </c>
      <c r="F9">
        <f>IF('Lean ideas'!J22="yes",0,100)</f>
        <v>100</v>
      </c>
      <c r="G9">
        <v>100</v>
      </c>
      <c r="H9" s="10">
        <v>600</v>
      </c>
      <c r="I9" s="11">
        <f t="shared" si="0"/>
        <v>6</v>
      </c>
      <c r="J9" s="6">
        <f>IF('Lean ideas'!J21="yes",98%,90%)</f>
        <v>0.9</v>
      </c>
      <c r="K9" s="10">
        <f>IF('Lean ideas'!J21="yes",50,200)</f>
        <v>200</v>
      </c>
      <c r="M9" s="40"/>
      <c r="N9" s="40"/>
      <c r="O9" s="41"/>
    </row>
    <row r="10" spans="1:15" x14ac:dyDescent="0.2">
      <c r="A10" t="s">
        <v>19</v>
      </c>
      <c r="B10" t="s">
        <v>156</v>
      </c>
      <c r="C10">
        <v>2</v>
      </c>
      <c r="D10" t="s">
        <v>84</v>
      </c>
      <c r="E10">
        <f>IF('Lean ideas'!J22="yes",5,20)</f>
        <v>20</v>
      </c>
      <c r="F10">
        <f>IF('Lean ideas'!J22="yes",0,100)</f>
        <v>100</v>
      </c>
      <c r="G10">
        <v>10</v>
      </c>
      <c r="H10" s="10">
        <v>400</v>
      </c>
      <c r="I10" s="11">
        <f t="shared" si="0"/>
        <v>40</v>
      </c>
      <c r="J10" s="6">
        <f>IF('Lean ideas'!J21="yes",98%,90%)</f>
        <v>0.9</v>
      </c>
      <c r="K10" s="10">
        <f>IF('Lean ideas'!J21="yes",50,200)</f>
        <v>200</v>
      </c>
      <c r="M10" s="40"/>
      <c r="N10" s="40"/>
      <c r="O10" s="41"/>
    </row>
    <row r="11" spans="1:15" x14ac:dyDescent="0.2">
      <c r="A11" t="s">
        <v>28</v>
      </c>
      <c r="B11" t="s">
        <v>156</v>
      </c>
      <c r="C11">
        <v>2</v>
      </c>
      <c r="D11" t="s">
        <v>85</v>
      </c>
      <c r="E11">
        <f>IF('Lean ideas'!J22="yes",1,4)</f>
        <v>4</v>
      </c>
      <c r="F11">
        <f>IF('Lean ideas'!J22="yes",0,100)</f>
        <v>100</v>
      </c>
      <c r="G11">
        <v>100</v>
      </c>
      <c r="H11" s="10">
        <v>225</v>
      </c>
      <c r="I11" s="11">
        <f>H11/G11</f>
        <v>2.25</v>
      </c>
      <c r="J11" s="6">
        <f>IF('Lean ideas'!J21="yes",98%,90%)</f>
        <v>0.9</v>
      </c>
      <c r="K11" s="10">
        <f>IF('Lean ideas'!J21="yes",50,200)</f>
        <v>200</v>
      </c>
      <c r="M11" s="40"/>
      <c r="N11" s="40"/>
      <c r="O11" s="41"/>
    </row>
    <row r="12" spans="1:15" x14ac:dyDescent="0.2">
      <c r="A12" t="s">
        <v>29</v>
      </c>
      <c r="B12" t="s">
        <v>156</v>
      </c>
      <c r="C12">
        <v>2</v>
      </c>
      <c r="D12" t="s">
        <v>86</v>
      </c>
      <c r="E12">
        <f>IF('Lean ideas'!J22="yes",2,8)</f>
        <v>8</v>
      </c>
      <c r="F12">
        <f>IF('Lean ideas'!J22="yes",0,100)</f>
        <v>100</v>
      </c>
      <c r="G12">
        <v>50</v>
      </c>
      <c r="H12" s="10">
        <v>120</v>
      </c>
      <c r="I12" s="11">
        <f>H12/G12</f>
        <v>2.4</v>
      </c>
      <c r="J12" s="6">
        <f>IF('Lean ideas'!J21="yes",98%,90%)</f>
        <v>0.9</v>
      </c>
      <c r="K12" s="10">
        <f>IF('Lean ideas'!J21="yes",50,200)</f>
        <v>200</v>
      </c>
      <c r="M12" s="40"/>
      <c r="N12" s="40"/>
      <c r="O12" s="41"/>
    </row>
    <row r="13" spans="1:15" x14ac:dyDescent="0.2">
      <c r="A13" t="s">
        <v>22</v>
      </c>
      <c r="B13" t="s">
        <v>272</v>
      </c>
      <c r="C13">
        <v>2</v>
      </c>
      <c r="D13" t="s">
        <v>85</v>
      </c>
      <c r="E13">
        <f>IF('Lean ideas'!L22="yes",1,4)</f>
        <v>4</v>
      </c>
      <c r="F13">
        <f>IF('Lean ideas'!L22="yes",0,100)</f>
        <v>100</v>
      </c>
      <c r="G13">
        <v>100</v>
      </c>
      <c r="H13" s="10">
        <v>150</v>
      </c>
      <c r="I13" s="11">
        <f>H13/G13</f>
        <v>1.5</v>
      </c>
      <c r="J13" s="6">
        <f>IF('Lean ideas'!L21="yes",98%,90%)</f>
        <v>0.9</v>
      </c>
      <c r="K13" s="10">
        <f>IF('Lean ideas'!L21="yes",50,200)</f>
        <v>200</v>
      </c>
      <c r="M13" s="40"/>
      <c r="N13" s="40"/>
      <c r="O13" s="41"/>
    </row>
    <row r="14" spans="1:15" x14ac:dyDescent="0.2">
      <c r="A14" t="s">
        <v>23</v>
      </c>
      <c r="B14" t="s">
        <v>272</v>
      </c>
      <c r="C14">
        <v>1</v>
      </c>
      <c r="D14" t="s">
        <v>85</v>
      </c>
      <c r="E14">
        <f>IF('Lean ideas'!L22="yes",1,2)</f>
        <v>2</v>
      </c>
      <c r="F14">
        <f>IF('Lean ideas'!L22="yes",0,100)</f>
        <v>100</v>
      </c>
      <c r="G14">
        <v>200</v>
      </c>
      <c r="H14" s="10">
        <v>150</v>
      </c>
      <c r="I14" s="11">
        <f>H14/G14</f>
        <v>0.75</v>
      </c>
      <c r="J14" s="6">
        <f>IF('Lean ideas'!L21="yes",98%,90%)</f>
        <v>0.9</v>
      </c>
      <c r="K14" s="10">
        <f>IF('Lean ideas'!L21="yes",50,200)</f>
        <v>200</v>
      </c>
      <c r="M14" s="40"/>
      <c r="N14" s="40"/>
      <c r="O14" s="41"/>
    </row>
    <row r="15" spans="1:15" x14ac:dyDescent="0.2">
      <c r="M15" s="40"/>
      <c r="N15" s="40"/>
      <c r="O15" s="40"/>
    </row>
    <row r="17" spans="8:9" x14ac:dyDescent="0.2">
      <c r="H17" t="s">
        <v>89</v>
      </c>
      <c r="I17" s="11">
        <f>SUM(I5:I14)</f>
        <v>108.50539215686275</v>
      </c>
    </row>
  </sheetData>
  <sheetProtection sheet="1" objects="1" scenarios="1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2"/>
  <sheetViews>
    <sheetView workbookViewId="0">
      <selection activeCell="B2" sqref="B2"/>
    </sheetView>
  </sheetViews>
  <sheetFormatPr defaultRowHeight="14.25" x14ac:dyDescent="0.2"/>
  <cols>
    <col min="1" max="1" width="22.125" customWidth="1"/>
    <col min="2" max="2" width="45.5" customWidth="1"/>
    <col min="3" max="3" width="25.125" customWidth="1"/>
    <col min="4" max="4" width="16.625" customWidth="1"/>
    <col min="6" max="6" width="5.375" customWidth="1"/>
    <col min="8" max="8" width="5.875" customWidth="1"/>
    <col min="10" max="10" width="5.375" customWidth="1"/>
    <col min="12" max="12" width="6" customWidth="1"/>
  </cols>
  <sheetData>
    <row r="1" spans="1:12" ht="18" x14ac:dyDescent="0.25">
      <c r="B1" s="32" t="s">
        <v>226</v>
      </c>
    </row>
    <row r="2" spans="1:12" ht="15.75" x14ac:dyDescent="0.25">
      <c r="B2" s="2" t="s">
        <v>267</v>
      </c>
    </row>
    <row r="3" spans="1:12" ht="15" x14ac:dyDescent="0.2">
      <c r="B3" s="37"/>
      <c r="C3" t="s">
        <v>349</v>
      </c>
      <c r="G3" s="55"/>
    </row>
    <row r="5" spans="1:12" ht="15" x14ac:dyDescent="0.25">
      <c r="A5" s="14" t="s">
        <v>267</v>
      </c>
      <c r="B5" s="3" t="s">
        <v>103</v>
      </c>
      <c r="C5" s="3" t="s">
        <v>114</v>
      </c>
      <c r="D5" s="5" t="s">
        <v>119</v>
      </c>
      <c r="E5" s="5" t="s">
        <v>265</v>
      </c>
      <c r="F5" s="22"/>
      <c r="G5" s="22"/>
    </row>
    <row r="6" spans="1:12" x14ac:dyDescent="0.2">
      <c r="A6" t="s">
        <v>208</v>
      </c>
      <c r="B6" t="s">
        <v>307</v>
      </c>
      <c r="C6" t="s">
        <v>116</v>
      </c>
      <c r="D6" t="s">
        <v>120</v>
      </c>
      <c r="E6" t="s">
        <v>207</v>
      </c>
      <c r="F6" s="8" t="s">
        <v>266</v>
      </c>
      <c r="G6" t="s">
        <v>257</v>
      </c>
      <c r="H6" s="8" t="s">
        <v>266</v>
      </c>
    </row>
    <row r="7" spans="1:12" x14ac:dyDescent="0.2">
      <c r="A7" t="s">
        <v>115</v>
      </c>
      <c r="B7" t="s">
        <v>276</v>
      </c>
      <c r="C7" t="s">
        <v>275</v>
      </c>
      <c r="D7" t="s">
        <v>124</v>
      </c>
      <c r="E7" t="s">
        <v>42</v>
      </c>
      <c r="F7" s="8" t="s">
        <v>266</v>
      </c>
      <c r="G7" t="s">
        <v>79</v>
      </c>
      <c r="H7" s="8" t="s">
        <v>266</v>
      </c>
    </row>
    <row r="8" spans="1:12" x14ac:dyDescent="0.2">
      <c r="A8" t="s">
        <v>112</v>
      </c>
      <c r="B8" t="s">
        <v>209</v>
      </c>
      <c r="C8" t="s">
        <v>270</v>
      </c>
      <c r="D8" t="s">
        <v>120</v>
      </c>
      <c r="E8" t="s">
        <v>207</v>
      </c>
      <c r="F8" s="8" t="s">
        <v>266</v>
      </c>
      <c r="G8" t="s">
        <v>257</v>
      </c>
      <c r="H8" s="8" t="s">
        <v>266</v>
      </c>
      <c r="I8" t="s">
        <v>155</v>
      </c>
      <c r="J8" s="8" t="s">
        <v>266</v>
      </c>
    </row>
    <row r="9" spans="1:12" x14ac:dyDescent="0.2">
      <c r="A9" t="s">
        <v>104</v>
      </c>
      <c r="B9" t="s">
        <v>259</v>
      </c>
      <c r="C9" t="s">
        <v>118</v>
      </c>
      <c r="D9" t="s">
        <v>121</v>
      </c>
      <c r="E9" t="s">
        <v>64</v>
      </c>
      <c r="F9" s="8" t="s">
        <v>266</v>
      </c>
      <c r="G9" t="s">
        <v>256</v>
      </c>
      <c r="H9" s="8" t="s">
        <v>266</v>
      </c>
      <c r="I9" t="s">
        <v>274</v>
      </c>
      <c r="J9" s="8" t="s">
        <v>266</v>
      </c>
    </row>
    <row r="10" spans="1:12" x14ac:dyDescent="0.2">
      <c r="E10" t="s">
        <v>42</v>
      </c>
      <c r="F10" s="8" t="s">
        <v>266</v>
      </c>
      <c r="G10" t="s">
        <v>190</v>
      </c>
      <c r="H10" s="8" t="s">
        <v>266</v>
      </c>
      <c r="I10" t="s">
        <v>61</v>
      </c>
      <c r="J10" s="8" t="s">
        <v>266</v>
      </c>
    </row>
    <row r="11" spans="1:12" x14ac:dyDescent="0.2">
      <c r="E11" t="s">
        <v>76</v>
      </c>
      <c r="F11" s="8" t="s">
        <v>266</v>
      </c>
      <c r="G11" t="s">
        <v>38</v>
      </c>
      <c r="H11" s="8" t="s">
        <v>266</v>
      </c>
      <c r="I11" t="s">
        <v>79</v>
      </c>
      <c r="J11" s="8" t="s">
        <v>266</v>
      </c>
      <c r="L11" s="8"/>
    </row>
    <row r="12" spans="1:12" x14ac:dyDescent="0.2">
      <c r="A12" t="s">
        <v>105</v>
      </c>
      <c r="B12" t="s">
        <v>210</v>
      </c>
      <c r="C12" t="s">
        <v>268</v>
      </c>
      <c r="D12" t="s">
        <v>122</v>
      </c>
      <c r="E12" t="s">
        <v>64</v>
      </c>
      <c r="F12" s="8" t="s">
        <v>266</v>
      </c>
      <c r="G12" t="s">
        <v>256</v>
      </c>
      <c r="H12" s="8" t="s">
        <v>266</v>
      </c>
      <c r="I12" t="s">
        <v>274</v>
      </c>
      <c r="J12" s="8" t="s">
        <v>266</v>
      </c>
    </row>
    <row r="13" spans="1:12" x14ac:dyDescent="0.2">
      <c r="E13" t="s">
        <v>42</v>
      </c>
      <c r="F13" s="8" t="s">
        <v>266</v>
      </c>
      <c r="G13" t="s">
        <v>61</v>
      </c>
      <c r="H13" s="8" t="s">
        <v>266</v>
      </c>
      <c r="I13" t="s">
        <v>38</v>
      </c>
      <c r="J13" s="8" t="s">
        <v>266</v>
      </c>
    </row>
    <row r="14" spans="1:12" x14ac:dyDescent="0.2">
      <c r="A14" t="s">
        <v>184</v>
      </c>
      <c r="B14" t="s">
        <v>351</v>
      </c>
      <c r="C14" t="s">
        <v>273</v>
      </c>
      <c r="D14" t="s">
        <v>124</v>
      </c>
      <c r="E14" t="s">
        <v>256</v>
      </c>
      <c r="F14" s="8" t="s">
        <v>266</v>
      </c>
      <c r="G14" t="s">
        <v>274</v>
      </c>
      <c r="H14" s="8" t="s">
        <v>266</v>
      </c>
      <c r="I14" t="s">
        <v>42</v>
      </c>
      <c r="J14" s="8" t="s">
        <v>266</v>
      </c>
    </row>
    <row r="15" spans="1:12" x14ac:dyDescent="0.2">
      <c r="E15" t="s">
        <v>38</v>
      </c>
      <c r="F15" s="8" t="s">
        <v>266</v>
      </c>
      <c r="G15" t="s">
        <v>79</v>
      </c>
      <c r="H15" s="8" t="s">
        <v>266</v>
      </c>
      <c r="J15" s="8"/>
    </row>
    <row r="16" spans="1:12" x14ac:dyDescent="0.2">
      <c r="A16" t="s">
        <v>107</v>
      </c>
      <c r="B16" t="s">
        <v>364</v>
      </c>
      <c r="C16" t="s">
        <v>117</v>
      </c>
      <c r="D16" s="10" t="s">
        <v>204</v>
      </c>
      <c r="E16" t="s">
        <v>117</v>
      </c>
      <c r="F16" s="8" t="s">
        <v>266</v>
      </c>
      <c r="H16" s="8"/>
    </row>
    <row r="17" spans="1:12" x14ac:dyDescent="0.2">
      <c r="A17" t="s">
        <v>108</v>
      </c>
      <c r="B17" t="s">
        <v>317</v>
      </c>
      <c r="C17" t="s">
        <v>270</v>
      </c>
      <c r="D17" t="s">
        <v>123</v>
      </c>
      <c r="E17" t="s">
        <v>207</v>
      </c>
      <c r="F17" s="8" t="s">
        <v>266</v>
      </c>
      <c r="G17" t="s">
        <v>257</v>
      </c>
      <c r="H17" s="8" t="s">
        <v>266</v>
      </c>
      <c r="I17" t="s">
        <v>155</v>
      </c>
      <c r="J17" s="8" t="s">
        <v>266</v>
      </c>
    </row>
    <row r="18" spans="1:12" x14ac:dyDescent="0.2">
      <c r="A18" t="s">
        <v>159</v>
      </c>
      <c r="B18" t="s">
        <v>363</v>
      </c>
      <c r="C18" t="s">
        <v>270</v>
      </c>
      <c r="D18" t="s">
        <v>123</v>
      </c>
      <c r="E18" t="s">
        <v>207</v>
      </c>
      <c r="F18" s="8" t="s">
        <v>266</v>
      </c>
      <c r="G18" t="s">
        <v>257</v>
      </c>
      <c r="H18" s="8" t="s">
        <v>266</v>
      </c>
      <c r="I18" t="s">
        <v>155</v>
      </c>
      <c r="J18" s="8" t="s">
        <v>266</v>
      </c>
    </row>
    <row r="19" spans="1:12" x14ac:dyDescent="0.2">
      <c r="A19" t="s">
        <v>109</v>
      </c>
      <c r="B19" t="s">
        <v>211</v>
      </c>
      <c r="C19" t="s">
        <v>269</v>
      </c>
      <c r="D19" t="s">
        <v>124</v>
      </c>
      <c r="E19" t="s">
        <v>64</v>
      </c>
      <c r="F19" s="8" t="s">
        <v>266</v>
      </c>
      <c r="G19" t="s">
        <v>256</v>
      </c>
      <c r="H19" s="8" t="s">
        <v>266</v>
      </c>
      <c r="I19" t="s">
        <v>274</v>
      </c>
      <c r="J19" s="8" t="s">
        <v>266</v>
      </c>
    </row>
    <row r="20" spans="1:12" x14ac:dyDescent="0.2">
      <c r="E20" t="s">
        <v>42</v>
      </c>
      <c r="F20" s="8" t="s">
        <v>266</v>
      </c>
      <c r="G20" t="s">
        <v>61</v>
      </c>
      <c r="H20" s="8" t="s">
        <v>266</v>
      </c>
      <c r="I20" t="s">
        <v>38</v>
      </c>
      <c r="J20" s="8" t="s">
        <v>266</v>
      </c>
    </row>
    <row r="21" spans="1:12" x14ac:dyDescent="0.2">
      <c r="A21" t="s">
        <v>110</v>
      </c>
      <c r="B21" t="s">
        <v>354</v>
      </c>
      <c r="C21" t="s">
        <v>157</v>
      </c>
      <c r="D21" t="s">
        <v>206</v>
      </c>
      <c r="E21" t="s">
        <v>154</v>
      </c>
      <c r="F21" s="8" t="s">
        <v>266</v>
      </c>
      <c r="G21" t="s">
        <v>271</v>
      </c>
      <c r="H21" s="8" t="s">
        <v>266</v>
      </c>
      <c r="I21" t="s">
        <v>156</v>
      </c>
      <c r="J21" s="8" t="s">
        <v>266</v>
      </c>
      <c r="K21" t="s">
        <v>272</v>
      </c>
      <c r="L21" s="8" t="s">
        <v>266</v>
      </c>
    </row>
    <row r="22" spans="1:12" x14ac:dyDescent="0.2">
      <c r="A22" t="s">
        <v>111</v>
      </c>
      <c r="B22" t="s">
        <v>264</v>
      </c>
      <c r="C22" t="s">
        <v>157</v>
      </c>
      <c r="D22" t="s">
        <v>205</v>
      </c>
      <c r="E22" t="s">
        <v>154</v>
      </c>
      <c r="F22" s="8" t="s">
        <v>266</v>
      </c>
      <c r="G22" t="s">
        <v>271</v>
      </c>
      <c r="H22" s="8" t="s">
        <v>266</v>
      </c>
      <c r="I22" t="s">
        <v>156</v>
      </c>
      <c r="J22" s="8" t="s">
        <v>266</v>
      </c>
      <c r="K22" t="s">
        <v>272</v>
      </c>
      <c r="L22" s="8" t="s">
        <v>266</v>
      </c>
    </row>
    <row r="23" spans="1:12" x14ac:dyDescent="0.2">
      <c r="A23" t="s">
        <v>113</v>
      </c>
      <c r="B23" t="s">
        <v>350</v>
      </c>
      <c r="C23" t="s">
        <v>118</v>
      </c>
      <c r="D23" t="s">
        <v>125</v>
      </c>
      <c r="E23" t="s">
        <v>64</v>
      </c>
      <c r="F23" s="8" t="s">
        <v>266</v>
      </c>
      <c r="G23" t="s">
        <v>256</v>
      </c>
      <c r="H23" s="8" t="s">
        <v>266</v>
      </c>
      <c r="I23" t="s">
        <v>274</v>
      </c>
      <c r="J23" s="8" t="s">
        <v>266</v>
      </c>
    </row>
    <row r="24" spans="1:12" x14ac:dyDescent="0.2">
      <c r="E24" t="s">
        <v>42</v>
      </c>
      <c r="F24" s="8" t="s">
        <v>266</v>
      </c>
      <c r="G24" t="s">
        <v>190</v>
      </c>
      <c r="H24" s="8" t="s">
        <v>266</v>
      </c>
      <c r="I24" t="s">
        <v>61</v>
      </c>
      <c r="J24" s="8" t="s">
        <v>266</v>
      </c>
    </row>
    <row r="25" spans="1:12" x14ac:dyDescent="0.2">
      <c r="E25" t="s">
        <v>76</v>
      </c>
      <c r="F25" s="8" t="s">
        <v>266</v>
      </c>
      <c r="G25" t="s">
        <v>38</v>
      </c>
      <c r="H25" s="8" t="s">
        <v>266</v>
      </c>
      <c r="I25" t="s">
        <v>79</v>
      </c>
      <c r="J25" s="8" t="s">
        <v>266</v>
      </c>
    </row>
    <row r="27" spans="1:12" x14ac:dyDescent="0.2">
      <c r="A27" s="12" t="s">
        <v>126</v>
      </c>
    </row>
    <row r="28" spans="1:12" x14ac:dyDescent="0.2">
      <c r="A28" s="13" t="s">
        <v>127</v>
      </c>
      <c r="C28" t="s">
        <v>128</v>
      </c>
      <c r="D28" t="s">
        <v>261</v>
      </c>
    </row>
    <row r="29" spans="1:12" x14ac:dyDescent="0.2">
      <c r="A29" t="s">
        <v>129</v>
      </c>
      <c r="C29" t="s">
        <v>270</v>
      </c>
      <c r="D29" t="s">
        <v>262</v>
      </c>
    </row>
    <row r="30" spans="1:12" x14ac:dyDescent="0.2">
      <c r="A30" t="s">
        <v>130</v>
      </c>
      <c r="C30" t="s">
        <v>117</v>
      </c>
      <c r="D30" t="s">
        <v>262</v>
      </c>
    </row>
    <row r="31" spans="1:12" x14ac:dyDescent="0.2">
      <c r="A31" t="s">
        <v>263</v>
      </c>
      <c r="C31" t="s">
        <v>157</v>
      </c>
      <c r="D31" t="s">
        <v>262</v>
      </c>
    </row>
    <row r="32" spans="1:12" x14ac:dyDescent="0.2">
      <c r="A32" t="s">
        <v>133</v>
      </c>
      <c r="C32" t="s">
        <v>117</v>
      </c>
      <c r="D32" t="s">
        <v>134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O27"/>
  <sheetViews>
    <sheetView workbookViewId="0">
      <selection activeCell="B1" sqref="B1"/>
    </sheetView>
  </sheetViews>
  <sheetFormatPr defaultRowHeight="14.25" x14ac:dyDescent="0.2"/>
  <cols>
    <col min="1" max="1" width="4" customWidth="1"/>
    <col min="2" max="2" width="23.125" customWidth="1"/>
    <col min="4" max="4" width="9.625" customWidth="1"/>
    <col min="7" max="7" width="5.5" customWidth="1"/>
    <col min="8" max="8" width="15.875" customWidth="1"/>
    <col min="12" max="12" width="11.75" bestFit="1" customWidth="1"/>
  </cols>
  <sheetData>
    <row r="1" spans="2:15" ht="18" x14ac:dyDescent="0.25">
      <c r="C1" s="32" t="s">
        <v>226</v>
      </c>
    </row>
    <row r="2" spans="2:15" ht="18" x14ac:dyDescent="0.25">
      <c r="B2" s="32"/>
      <c r="C2" s="2" t="s">
        <v>228</v>
      </c>
    </row>
    <row r="3" spans="2:15" ht="15" x14ac:dyDescent="0.25">
      <c r="C3" s="1" t="s">
        <v>164</v>
      </c>
      <c r="D3" s="1">
        <f>Costs!C3</f>
        <v>1</v>
      </c>
    </row>
    <row r="4" spans="2:15" x14ac:dyDescent="0.2">
      <c r="I4" t="s">
        <v>313</v>
      </c>
      <c r="J4" t="s">
        <v>313</v>
      </c>
      <c r="K4" s="27"/>
    </row>
    <row r="5" spans="2:15" ht="15" x14ac:dyDescent="0.25">
      <c r="B5" s="1" t="s">
        <v>214</v>
      </c>
      <c r="D5" t="s">
        <v>313</v>
      </c>
      <c r="E5" t="s">
        <v>217</v>
      </c>
      <c r="H5" s="1" t="s">
        <v>152</v>
      </c>
      <c r="I5" t="s">
        <v>285</v>
      </c>
      <c r="J5" t="s">
        <v>221</v>
      </c>
      <c r="K5" t="s">
        <v>220</v>
      </c>
      <c r="L5" t="s">
        <v>221</v>
      </c>
      <c r="M5" t="s">
        <v>221</v>
      </c>
      <c r="N5" t="s">
        <v>81</v>
      </c>
    </row>
    <row r="6" spans="2:15" x14ac:dyDescent="0.2">
      <c r="B6" s="3" t="s">
        <v>215</v>
      </c>
      <c r="C6" s="3" t="s">
        <v>218</v>
      </c>
      <c r="D6" s="3" t="s">
        <v>2</v>
      </c>
      <c r="E6" s="3" t="s">
        <v>136</v>
      </c>
      <c r="F6" s="3" t="s">
        <v>216</v>
      </c>
      <c r="H6" s="3" t="s">
        <v>215</v>
      </c>
      <c r="I6" s="3" t="s">
        <v>2</v>
      </c>
      <c r="J6" s="3" t="s">
        <v>2</v>
      </c>
      <c r="K6" s="3" t="s">
        <v>286</v>
      </c>
      <c r="L6" s="3" t="s">
        <v>136</v>
      </c>
      <c r="M6" s="5" t="s">
        <v>119</v>
      </c>
      <c r="N6" s="5" t="s">
        <v>119</v>
      </c>
    </row>
    <row r="7" spans="2:15" x14ac:dyDescent="0.2">
      <c r="B7" t="s">
        <v>237</v>
      </c>
      <c r="D7" s="27">
        <f>I7+J7*K7-Capacity!$M$21</f>
        <v>160</v>
      </c>
      <c r="E7" s="24">
        <f>'Raw materials'!I5</f>
        <v>28.125</v>
      </c>
      <c r="F7" s="25">
        <f t="shared" ref="F7:F16" si="0">D7*E7</f>
        <v>4500</v>
      </c>
      <c r="H7" t="s">
        <v>237</v>
      </c>
      <c r="I7" s="27">
        <v>200</v>
      </c>
      <c r="J7">
        <f>'Raw materials'!G5*'Raw materials'!E5</f>
        <v>80</v>
      </c>
      <c r="K7">
        <f>IF(I7-Capacity!$M$21&lt;='Raw materials'!F5, ROUNDUP(('Raw materials'!F5-I7+Capacity!$M$21)/J7,0),0)</f>
        <v>3</v>
      </c>
      <c r="L7" s="18">
        <f>'Raw materials'!I5*J7</f>
        <v>2250</v>
      </c>
      <c r="M7" s="25">
        <f>K7*'Raw materials'!K5</f>
        <v>600</v>
      </c>
      <c r="N7" s="25">
        <f>L7*K7</f>
        <v>6750</v>
      </c>
      <c r="O7" s="39">
        <v>200</v>
      </c>
    </row>
    <row r="8" spans="2:15" x14ac:dyDescent="0.2">
      <c r="B8" t="s">
        <v>238</v>
      </c>
      <c r="D8" s="27">
        <f>I8+J8*K8-Capacity!$M$21</f>
        <v>260</v>
      </c>
      <c r="E8" s="24">
        <f>'Raw materials'!I6</f>
        <v>17.647058823529413</v>
      </c>
      <c r="F8" s="25">
        <f t="shared" si="0"/>
        <v>4588.2352941176478</v>
      </c>
      <c r="H8" t="s">
        <v>238</v>
      </c>
      <c r="I8" s="27">
        <v>200</v>
      </c>
      <c r="J8">
        <f>'Raw materials'!G6*'Raw materials'!E6</f>
        <v>170</v>
      </c>
      <c r="K8">
        <f>IF(I8-Capacity!$M$21&lt;='Raw materials'!F6, ROUNDUP(('Raw materials'!F6-I8+Capacity!$M$21)/J8,0),0)</f>
        <v>2</v>
      </c>
      <c r="L8" s="18">
        <f>'Raw materials'!I6*J8</f>
        <v>3000</v>
      </c>
      <c r="M8" s="25">
        <f>K8*'Raw materials'!K6</f>
        <v>400</v>
      </c>
      <c r="N8" s="25">
        <f t="shared" ref="N8:N16" si="1">L8*K8</f>
        <v>6000</v>
      </c>
      <c r="O8" s="39">
        <v>200</v>
      </c>
    </row>
    <row r="9" spans="2:15" x14ac:dyDescent="0.2">
      <c r="B9" t="s">
        <v>239</v>
      </c>
      <c r="D9" s="27">
        <f>I9+J9*K9-Capacity!$M$21</f>
        <v>1120</v>
      </c>
      <c r="E9" s="24">
        <f>'Raw materials'!I7</f>
        <v>0.83333333333333337</v>
      </c>
      <c r="F9" s="25">
        <f t="shared" si="0"/>
        <v>933.33333333333337</v>
      </c>
      <c r="H9" t="s">
        <v>239</v>
      </c>
      <c r="I9" s="27">
        <v>1400</v>
      </c>
      <c r="J9">
        <f>'Raw materials'!G7*'Raw materials'!E7</f>
        <v>6000</v>
      </c>
      <c r="K9">
        <f>IF(I9-Capacity!$M$21&lt;='Raw materials'!F7, ROUNDUP(('Raw materials'!F7-I9+Capacity!$M$21)/J9,0),0)</f>
        <v>0</v>
      </c>
      <c r="L9" s="18">
        <f>'Raw materials'!I7*J9</f>
        <v>5000</v>
      </c>
      <c r="M9" s="25">
        <f>K9*'Raw materials'!K7</f>
        <v>0</v>
      </c>
      <c r="N9" s="25">
        <f t="shared" si="1"/>
        <v>0</v>
      </c>
      <c r="O9" s="39">
        <v>1400</v>
      </c>
    </row>
    <row r="10" spans="2:15" x14ac:dyDescent="0.2">
      <c r="B10" t="s">
        <v>240</v>
      </c>
      <c r="D10" s="27">
        <f>I10+J10*K10-Capacity!$M$27</f>
        <v>680</v>
      </c>
      <c r="E10" s="24">
        <f>'Raw materials'!I8</f>
        <v>9</v>
      </c>
      <c r="F10" s="25">
        <f t="shared" si="0"/>
        <v>6120</v>
      </c>
      <c r="H10" t="s">
        <v>240</v>
      </c>
      <c r="I10" s="27">
        <v>320</v>
      </c>
      <c r="J10">
        <f>'Raw materials'!G8*'Raw materials'!E8</f>
        <v>600</v>
      </c>
      <c r="K10">
        <f>IF(I10-Capacity!$M$27&lt;='Raw materials'!F8, ROUNDUP(('Raw materials'!F8-I10+Capacity!$M$27)/J10,0),0)</f>
        <v>1</v>
      </c>
      <c r="L10" s="18">
        <f>'Raw materials'!I8*J10</f>
        <v>5400</v>
      </c>
      <c r="M10" s="25">
        <f>K10*'Raw materials'!K8</f>
        <v>200</v>
      </c>
      <c r="N10" s="25">
        <f t="shared" si="1"/>
        <v>5400</v>
      </c>
      <c r="O10" s="39">
        <v>320</v>
      </c>
    </row>
    <row r="11" spans="2:15" x14ac:dyDescent="0.2">
      <c r="B11" t="s">
        <v>16</v>
      </c>
      <c r="D11" s="27">
        <f>I11+J11*K11-Capacity!$M$29</f>
        <v>810</v>
      </c>
      <c r="E11" s="24">
        <f>'Raw materials'!I9</f>
        <v>6</v>
      </c>
      <c r="F11" s="25">
        <f t="shared" si="0"/>
        <v>4860</v>
      </c>
      <c r="H11" t="s">
        <v>16</v>
      </c>
      <c r="I11" s="27">
        <v>200</v>
      </c>
      <c r="J11">
        <f>'Raw materials'!G9*'Raw materials'!E9</f>
        <v>800</v>
      </c>
      <c r="K11">
        <f>IF(I11-Capacity!$M$29&lt;='Raw materials'!F9, ROUNDUP(('Raw materials'!F9-I11+Capacity!$M$29)/J11,0),0)</f>
        <v>1</v>
      </c>
      <c r="L11" s="18">
        <f>'Raw materials'!I9*J11</f>
        <v>4800</v>
      </c>
      <c r="M11" s="25">
        <f>K11*'Raw materials'!K9</f>
        <v>200</v>
      </c>
      <c r="N11" s="25">
        <f t="shared" si="1"/>
        <v>4800</v>
      </c>
      <c r="O11" s="39">
        <v>200</v>
      </c>
    </row>
    <row r="12" spans="2:15" x14ac:dyDescent="0.2">
      <c r="B12" t="s">
        <v>19</v>
      </c>
      <c r="D12" s="27">
        <f>I12+J12*K12-Capacity!$M$29</f>
        <v>190</v>
      </c>
      <c r="E12" s="24">
        <f>'Raw materials'!I10</f>
        <v>40</v>
      </c>
      <c r="F12" s="25">
        <f t="shared" si="0"/>
        <v>7600</v>
      </c>
      <c r="H12" t="s">
        <v>19</v>
      </c>
      <c r="I12" s="27">
        <v>180</v>
      </c>
      <c r="J12">
        <f>'Raw materials'!G10*'Raw materials'!E10</f>
        <v>200</v>
      </c>
      <c r="K12">
        <f>IF(I12-Capacity!$M$29&lt;='Raw materials'!F10, ROUNDUP(('Raw materials'!F10-I12+Capacity!$M$29)/J12,0),0)</f>
        <v>1</v>
      </c>
      <c r="L12" s="18">
        <f>'Raw materials'!I10*J12</f>
        <v>8000</v>
      </c>
      <c r="M12" s="25">
        <f>K12*'Raw materials'!K10</f>
        <v>200</v>
      </c>
      <c r="N12" s="25">
        <f t="shared" si="1"/>
        <v>8000</v>
      </c>
      <c r="O12" s="39">
        <v>180</v>
      </c>
    </row>
    <row r="13" spans="2:15" x14ac:dyDescent="0.2">
      <c r="B13" t="s">
        <v>28</v>
      </c>
      <c r="D13" s="27">
        <f>I13+J13*K13-Capacity!$M$29</f>
        <v>210</v>
      </c>
      <c r="E13" s="24">
        <f>'Raw materials'!I11</f>
        <v>2.25</v>
      </c>
      <c r="F13" s="25">
        <f t="shared" si="0"/>
        <v>472.5</v>
      </c>
      <c r="H13" t="s">
        <v>28</v>
      </c>
      <c r="I13" s="27">
        <v>400</v>
      </c>
      <c r="J13">
        <f>'Raw materials'!G11*'Raw materials'!E11</f>
        <v>400</v>
      </c>
      <c r="K13">
        <f>IF(I13-Capacity!$M$29&lt;='Raw materials'!F11, ROUNDUP(('Raw materials'!F11-I13+Capacity!$M$29)/J13,0),0)</f>
        <v>0</v>
      </c>
      <c r="L13" s="18">
        <f>'Raw materials'!I11*J13</f>
        <v>900</v>
      </c>
      <c r="M13" s="25">
        <f>K13*'Raw materials'!K11</f>
        <v>0</v>
      </c>
      <c r="N13" s="25">
        <f t="shared" si="1"/>
        <v>0</v>
      </c>
      <c r="O13" s="39">
        <v>400</v>
      </c>
    </row>
    <row r="14" spans="2:15" x14ac:dyDescent="0.2">
      <c r="B14" t="s">
        <v>29</v>
      </c>
      <c r="D14" s="27">
        <f>I14+J14*K14-Capacity!$M$29</f>
        <v>310</v>
      </c>
      <c r="E14" s="24">
        <f>'Raw materials'!I12</f>
        <v>2.4</v>
      </c>
      <c r="F14" s="25">
        <f t="shared" si="0"/>
        <v>744</v>
      </c>
      <c r="H14" t="s">
        <v>29</v>
      </c>
      <c r="I14" s="27">
        <v>500</v>
      </c>
      <c r="J14">
        <f>'Raw materials'!G12*'Raw materials'!E12</f>
        <v>400</v>
      </c>
      <c r="K14">
        <f>IF(I14-Capacity!$M$29&lt;='Raw materials'!F12, ROUNDUP(('Raw materials'!F12-I14+Capacity!$M$29)/J14,0),0)</f>
        <v>0</v>
      </c>
      <c r="L14" s="18">
        <f>'Raw materials'!I12*J14</f>
        <v>960</v>
      </c>
      <c r="M14" s="25">
        <f>K14*'Raw materials'!K12</f>
        <v>0</v>
      </c>
      <c r="N14" s="25">
        <f t="shared" si="1"/>
        <v>0</v>
      </c>
      <c r="O14" s="39">
        <v>500</v>
      </c>
    </row>
    <row r="15" spans="2:15" x14ac:dyDescent="0.2">
      <c r="B15" t="s">
        <v>22</v>
      </c>
      <c r="D15" s="27">
        <f>I15+J15*K15-Capacity!$M$29</f>
        <v>410</v>
      </c>
      <c r="E15" s="24">
        <f>'Raw materials'!I13</f>
        <v>1.5</v>
      </c>
      <c r="F15" s="25">
        <f t="shared" si="0"/>
        <v>615</v>
      </c>
      <c r="H15" t="s">
        <v>22</v>
      </c>
      <c r="I15" s="27">
        <v>200</v>
      </c>
      <c r="J15">
        <f>'Raw materials'!G13*'Raw materials'!E13</f>
        <v>400</v>
      </c>
      <c r="K15">
        <f>IF(I15-Capacity!$M$29&lt;='Raw materials'!F13, ROUNDUP(('Raw materials'!F13-I15+Capacity!$M$29)/J15,0),0)</f>
        <v>1</v>
      </c>
      <c r="L15" s="18">
        <f>'Raw materials'!I13*J15</f>
        <v>600</v>
      </c>
      <c r="M15" s="25">
        <f>K15*'Raw materials'!K13</f>
        <v>200</v>
      </c>
      <c r="N15" s="25">
        <f t="shared" si="1"/>
        <v>600</v>
      </c>
      <c r="O15" s="39">
        <v>200</v>
      </c>
    </row>
    <row r="16" spans="2:15" x14ac:dyDescent="0.2">
      <c r="B16" t="s">
        <v>23</v>
      </c>
      <c r="D16" s="27">
        <f>I16+J16*K16-Capacity!$M$29</f>
        <v>460</v>
      </c>
      <c r="E16" s="24">
        <f>'Raw materials'!I14</f>
        <v>0.75</v>
      </c>
      <c r="F16" s="25">
        <f t="shared" si="0"/>
        <v>345</v>
      </c>
      <c r="H16" t="s">
        <v>23</v>
      </c>
      <c r="I16" s="27">
        <v>250</v>
      </c>
      <c r="J16">
        <f>'Raw materials'!G14*'Raw materials'!E14</f>
        <v>400</v>
      </c>
      <c r="K16">
        <f>IF(I16-Capacity!$M$29&lt;='Raw materials'!F14, ROUNDUP(('Raw materials'!F14-I16+Capacity!$M$29)/J16,0),0)</f>
        <v>1</v>
      </c>
      <c r="L16" s="18">
        <f>'Raw materials'!I14*J16</f>
        <v>300</v>
      </c>
      <c r="M16" s="25">
        <f>K16*'Raw materials'!K14</f>
        <v>200</v>
      </c>
      <c r="N16" s="25">
        <f t="shared" si="1"/>
        <v>300</v>
      </c>
      <c r="O16" s="39">
        <v>250</v>
      </c>
    </row>
    <row r="17" spans="2:14" x14ac:dyDescent="0.2">
      <c r="B17" t="s">
        <v>337</v>
      </c>
      <c r="C17">
        <v>14</v>
      </c>
      <c r="D17" s="45">
        <f>Capacity!N21</f>
        <v>40</v>
      </c>
      <c r="E17" s="24">
        <v>1.95</v>
      </c>
      <c r="F17" s="25">
        <f>D17*E17*C17</f>
        <v>1092</v>
      </c>
    </row>
    <row r="18" spans="2:14" x14ac:dyDescent="0.2">
      <c r="B18" t="s">
        <v>338</v>
      </c>
      <c r="C18">
        <v>14</v>
      </c>
      <c r="D18" s="45">
        <f>Capacity!N22</f>
        <v>108</v>
      </c>
      <c r="E18" s="24">
        <v>2.1</v>
      </c>
      <c r="F18" s="25">
        <f t="shared" ref="F18:F24" si="2">D18*E18*C18</f>
        <v>3175.2000000000003</v>
      </c>
    </row>
    <row r="19" spans="2:14" x14ac:dyDescent="0.2">
      <c r="B19" t="s">
        <v>339</v>
      </c>
      <c r="C19">
        <v>14</v>
      </c>
      <c r="D19" s="45">
        <f>Capacity!N23</f>
        <v>93</v>
      </c>
      <c r="E19" s="24">
        <v>2.4</v>
      </c>
      <c r="F19" s="25">
        <f t="shared" si="2"/>
        <v>3124.7999999999997</v>
      </c>
    </row>
    <row r="20" spans="2:14" x14ac:dyDescent="0.2">
      <c r="B20" t="s">
        <v>340</v>
      </c>
      <c r="C20">
        <v>5</v>
      </c>
      <c r="D20" s="45">
        <f>Capacity!N24</f>
        <v>0</v>
      </c>
      <c r="E20" s="24">
        <v>9.75</v>
      </c>
      <c r="F20" s="25">
        <f t="shared" si="2"/>
        <v>0</v>
      </c>
    </row>
    <row r="21" spans="2:14" x14ac:dyDescent="0.2">
      <c r="B21" t="s">
        <v>341</v>
      </c>
      <c r="C21">
        <v>5</v>
      </c>
      <c r="D21" s="45">
        <f>Capacity!N25</f>
        <v>0</v>
      </c>
      <c r="E21" s="24">
        <v>10.75</v>
      </c>
      <c r="F21" s="25">
        <f t="shared" si="2"/>
        <v>0</v>
      </c>
    </row>
    <row r="22" spans="2:14" x14ac:dyDescent="0.2">
      <c r="B22" t="s">
        <v>342</v>
      </c>
      <c r="C22">
        <v>5</v>
      </c>
      <c r="D22" s="45">
        <f>Capacity!N26</f>
        <v>14</v>
      </c>
      <c r="E22" s="24">
        <v>12</v>
      </c>
      <c r="F22" s="25">
        <f t="shared" si="2"/>
        <v>840</v>
      </c>
    </row>
    <row r="23" spans="2:14" x14ac:dyDescent="0.2">
      <c r="B23" t="s">
        <v>343</v>
      </c>
      <c r="C23">
        <v>2</v>
      </c>
      <c r="D23" s="45">
        <f>Capacity!N27</f>
        <v>20</v>
      </c>
      <c r="E23" s="24">
        <v>8.75</v>
      </c>
      <c r="F23" s="25">
        <f t="shared" si="2"/>
        <v>350</v>
      </c>
    </row>
    <row r="24" spans="2:14" x14ac:dyDescent="0.2">
      <c r="B24" t="s">
        <v>344</v>
      </c>
      <c r="C24">
        <v>2</v>
      </c>
      <c r="D24" s="45">
        <f>Capacity!N28</f>
        <v>70</v>
      </c>
      <c r="E24" s="24">
        <v>15.75</v>
      </c>
      <c r="F24" s="25">
        <f t="shared" si="2"/>
        <v>2205</v>
      </c>
    </row>
    <row r="25" spans="2:14" x14ac:dyDescent="0.2">
      <c r="B25" t="s">
        <v>78</v>
      </c>
      <c r="D25" s="45">
        <v>5</v>
      </c>
      <c r="E25" s="24">
        <v>225</v>
      </c>
      <c r="F25" s="25">
        <f>D25*E25</f>
        <v>1125</v>
      </c>
    </row>
    <row r="27" spans="2:14" ht="15" x14ac:dyDescent="0.25">
      <c r="B27" t="s">
        <v>89</v>
      </c>
      <c r="E27" s="24"/>
      <c r="F27" s="26">
        <f>SUM(F7:F25)</f>
        <v>42690.068627450979</v>
      </c>
      <c r="H27" t="s">
        <v>89</v>
      </c>
      <c r="I27" s="28"/>
      <c r="K27" s="28">
        <f>SUM(K7:K16)</f>
        <v>10</v>
      </c>
      <c r="L27" s="26"/>
      <c r="M27" s="26">
        <f>SUM(M7:M16)</f>
        <v>2000</v>
      </c>
      <c r="N27" s="26">
        <f>SUM(N7:N16)</f>
        <v>31850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28"/>
  <sheetViews>
    <sheetView workbookViewId="0"/>
  </sheetViews>
  <sheetFormatPr defaultRowHeight="14.25" x14ac:dyDescent="0.2"/>
  <cols>
    <col min="1" max="1" width="18.125" customWidth="1"/>
    <col min="2" max="2" width="11.125" bestFit="1" customWidth="1"/>
    <col min="3" max="3" width="5.625" customWidth="1"/>
    <col min="4" max="4" width="11.125" customWidth="1"/>
    <col min="5" max="5" width="10.875" customWidth="1"/>
    <col min="6" max="6" width="12.125" customWidth="1"/>
    <col min="12" max="12" width="18" customWidth="1"/>
    <col min="13" max="13" width="9.125" customWidth="1"/>
  </cols>
  <sheetData>
    <row r="1" spans="1:10" ht="18" x14ac:dyDescent="0.25">
      <c r="B1" s="32" t="s">
        <v>226</v>
      </c>
    </row>
    <row r="2" spans="1:10" ht="15.75" x14ac:dyDescent="0.25">
      <c r="B2" s="2" t="s">
        <v>260</v>
      </c>
      <c r="G2" s="27"/>
    </row>
    <row r="3" spans="1:10" ht="15.75" x14ac:dyDescent="0.25">
      <c r="B3" s="36" t="s">
        <v>164</v>
      </c>
      <c r="C3" s="59">
        <v>1</v>
      </c>
      <c r="G3" s="27"/>
      <c r="I3" s="35"/>
    </row>
    <row r="5" spans="1:10" ht="15" x14ac:dyDescent="0.25">
      <c r="A5" s="15" t="s">
        <v>131</v>
      </c>
    </row>
    <row r="6" spans="1:10" x14ac:dyDescent="0.2">
      <c r="A6" t="s">
        <v>135</v>
      </c>
      <c r="B6" s="18">
        <f>E6*G6</f>
        <v>78000</v>
      </c>
      <c r="D6" t="s">
        <v>132</v>
      </c>
      <c r="E6" s="45">
        <f>MIN(Capacity!N29,Capacity!F3)</f>
        <v>200</v>
      </c>
      <c r="F6" t="s">
        <v>136</v>
      </c>
      <c r="G6" s="10">
        <v>390</v>
      </c>
    </row>
    <row r="7" spans="1:10" ht="15" x14ac:dyDescent="0.25">
      <c r="A7" t="s">
        <v>138</v>
      </c>
      <c r="B7" s="19">
        <f>B6</f>
        <v>78000</v>
      </c>
    </row>
    <row r="8" spans="1:10" x14ac:dyDescent="0.2">
      <c r="B8" s="18"/>
    </row>
    <row r="9" spans="1:10" ht="15" x14ac:dyDescent="0.25">
      <c r="A9" s="14" t="s">
        <v>137</v>
      </c>
      <c r="B9" s="18"/>
    </row>
    <row r="10" spans="1:10" x14ac:dyDescent="0.2">
      <c r="A10" t="s">
        <v>139</v>
      </c>
      <c r="B10" s="18">
        <f>E10*G10*I10</f>
        <v>26880</v>
      </c>
      <c r="D10" t="s">
        <v>148</v>
      </c>
      <c r="E10" s="58">
        <f>IF('Lean ideas'!F16="yes",Capacity!H31,Capacity!G31)</f>
        <v>12</v>
      </c>
      <c r="F10" s="27" t="s">
        <v>223</v>
      </c>
      <c r="G10" s="27">
        <v>160</v>
      </c>
      <c r="H10" t="s">
        <v>149</v>
      </c>
      <c r="I10" s="16">
        <v>14</v>
      </c>
    </row>
    <row r="11" spans="1:10" x14ac:dyDescent="0.2">
      <c r="A11" t="s">
        <v>140</v>
      </c>
      <c r="B11" s="18">
        <f>E11*G11*I11</f>
        <v>3360</v>
      </c>
      <c r="D11" t="s">
        <v>148</v>
      </c>
      <c r="E11" s="58">
        <f>Capacity!I31</f>
        <v>4</v>
      </c>
      <c r="F11" s="27" t="s">
        <v>223</v>
      </c>
      <c r="G11" s="27">
        <v>40</v>
      </c>
      <c r="H11" t="s">
        <v>149</v>
      </c>
      <c r="I11" s="16">
        <f>I10*1.5</f>
        <v>21</v>
      </c>
    </row>
    <row r="12" spans="1:10" x14ac:dyDescent="0.2">
      <c r="A12" t="s">
        <v>141</v>
      </c>
      <c r="B12" s="10">
        <f>E12+G12</f>
        <v>32250</v>
      </c>
      <c r="D12" t="s">
        <v>352</v>
      </c>
      <c r="E12" s="18">
        <f>Inventory!N27</f>
        <v>31850</v>
      </c>
      <c r="F12" s="27" t="s">
        <v>353</v>
      </c>
      <c r="G12" s="56">
        <f>100*(HLOOKUP($C$3,'Problems table'!$A$3:$N$28,7)+HLOOKUP($C$3,'Problems table'!$A$3:$N$28,10)+HLOOKUP($C$3,'Problems table'!$A$3:$N$28,14)+HLOOKUP($C$3,'Problems table'!$A$3:$N$28,23)+HLOOKUP($C$3,'Problems table'!$A$3:$N$28,26))</f>
        <v>400</v>
      </c>
      <c r="J12" s="27"/>
    </row>
    <row r="13" spans="1:10" x14ac:dyDescent="0.2">
      <c r="A13" t="s">
        <v>143</v>
      </c>
      <c r="B13" s="18">
        <f>SUM(B10:B12)</f>
        <v>62490</v>
      </c>
      <c r="E13" s="27"/>
      <c r="F13" s="27"/>
      <c r="G13" s="27"/>
    </row>
    <row r="14" spans="1:10" x14ac:dyDescent="0.2">
      <c r="B14" s="18"/>
      <c r="E14" s="27"/>
      <c r="F14" s="27"/>
      <c r="G14" s="27"/>
    </row>
    <row r="15" spans="1:10" x14ac:dyDescent="0.2">
      <c r="A15" t="s">
        <v>142</v>
      </c>
      <c r="B15" s="18">
        <f>E15*G15</f>
        <v>1280.7020588235293</v>
      </c>
      <c r="D15" t="s">
        <v>214</v>
      </c>
      <c r="E15" s="29">
        <f>Inventory!F27</f>
        <v>42690.068627450979</v>
      </c>
      <c r="F15" s="27" t="s">
        <v>222</v>
      </c>
      <c r="G15" s="30">
        <v>0.03</v>
      </c>
      <c r="J15" s="27"/>
    </row>
    <row r="16" spans="1:10" x14ac:dyDescent="0.2">
      <c r="A16" t="s">
        <v>151</v>
      </c>
      <c r="B16" s="18">
        <f>Inventory!M27</f>
        <v>2000</v>
      </c>
      <c r="D16" t="s">
        <v>152</v>
      </c>
      <c r="E16" s="27">
        <f>Inventory!K27</f>
        <v>10</v>
      </c>
      <c r="F16" s="27"/>
      <c r="G16" s="31"/>
      <c r="J16" s="27"/>
    </row>
    <row r="17" spans="1:16" x14ac:dyDescent="0.2">
      <c r="A17" t="s">
        <v>144</v>
      </c>
      <c r="B17" s="11">
        <f>E17</f>
        <v>0</v>
      </c>
      <c r="D17" t="s">
        <v>158</v>
      </c>
      <c r="E17" s="31">
        <v>0</v>
      </c>
      <c r="F17" s="27"/>
      <c r="G17" s="27"/>
      <c r="J17" s="27"/>
    </row>
    <row r="18" spans="1:16" x14ac:dyDescent="0.2">
      <c r="A18" t="s">
        <v>145</v>
      </c>
      <c r="B18" s="18">
        <f>E18+E15*G18</f>
        <v>20707.60274509804</v>
      </c>
      <c r="D18" t="s">
        <v>224</v>
      </c>
      <c r="E18" s="10">
        <f>19000-IF('Lean ideas'!F16="yes",700,0)-IF('Lean ideas'!F18="yes",500,0)-IF('Lean ideas'!H18="yes",500,0)-IF('Lean ideas'!J18="yes",500,0)+IF('Lean ideas'!F23="yes",300,0)+IF('Lean ideas'!H23="yes",300,0)+IF('Lean ideas'!J23="yes",300,0)+IF('Lean ideas'!F24="yes",300,0)+IF('Lean ideas'!H24="yes",300,0)+IF('Lean ideas'!J24="yes",300,0)+IF('Lean ideas'!F25="yes",300,0)+IF('Lean ideas'!H25="yes",300,0)+IF('Lean ideas'!J25="yes",300,0)</f>
        <v>19000</v>
      </c>
      <c r="F18" t="s">
        <v>222</v>
      </c>
      <c r="G18" s="6">
        <v>0.04</v>
      </c>
      <c r="J18" s="27"/>
    </row>
    <row r="19" spans="1:16" x14ac:dyDescent="0.2">
      <c r="A19" t="s">
        <v>146</v>
      </c>
      <c r="B19" s="18">
        <f>SUM(B15:B18)</f>
        <v>23988.304803921568</v>
      </c>
      <c r="J19" s="27"/>
    </row>
    <row r="20" spans="1:16" x14ac:dyDescent="0.2">
      <c r="B20" s="18"/>
    </row>
    <row r="21" spans="1:16" ht="15" x14ac:dyDescent="0.25">
      <c r="A21" t="s">
        <v>147</v>
      </c>
      <c r="B21" s="19">
        <f>B13+B19</f>
        <v>86478.304803921565</v>
      </c>
    </row>
    <row r="22" spans="1:16" x14ac:dyDescent="0.2">
      <c r="B22" s="18"/>
    </row>
    <row r="23" spans="1:16" ht="15" x14ac:dyDescent="0.25">
      <c r="A23" s="17" t="s">
        <v>150</v>
      </c>
      <c r="B23" s="19">
        <f>B7-B21</f>
        <v>-8478.3048039215646</v>
      </c>
    </row>
    <row r="28" spans="1:16" x14ac:dyDescent="0.2">
      <c r="O28" s="24"/>
      <c r="P28" s="25"/>
    </row>
  </sheetData>
  <pageMargins left="0.7" right="0.7" top="0.75" bottom="0.75" header="0.3" footer="0.3"/>
  <pageSetup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4"/>
  <sheetViews>
    <sheetView workbookViewId="0"/>
  </sheetViews>
  <sheetFormatPr defaultRowHeight="14.25" x14ac:dyDescent="0.2"/>
  <cols>
    <col min="1" max="1" width="18.375" customWidth="1"/>
    <col min="2" max="2" width="11.5" customWidth="1"/>
    <col min="3" max="3" width="9" customWidth="1"/>
    <col min="11" max="11" width="10.125" customWidth="1"/>
  </cols>
  <sheetData>
    <row r="1" spans="1:14" ht="18" x14ac:dyDescent="0.25">
      <c r="B1" s="32" t="s">
        <v>226</v>
      </c>
      <c r="C1" s="32"/>
    </row>
    <row r="2" spans="1:14" ht="15.75" x14ac:dyDescent="0.25">
      <c r="B2" s="2" t="s">
        <v>244</v>
      </c>
    </row>
    <row r="3" spans="1:14" ht="15.75" x14ac:dyDescent="0.25">
      <c r="B3" s="2" t="s">
        <v>164</v>
      </c>
      <c r="C3" s="1">
        <f>Costs!C3</f>
        <v>1</v>
      </c>
    </row>
    <row r="4" spans="1:14" ht="15.75" x14ac:dyDescent="0.25">
      <c r="B4" s="2"/>
    </row>
    <row r="5" spans="1:14" x14ac:dyDescent="0.2">
      <c r="B5" t="s">
        <v>89</v>
      </c>
      <c r="C5" s="27" t="s">
        <v>219</v>
      </c>
      <c r="D5" t="s">
        <v>245</v>
      </c>
      <c r="E5" t="s">
        <v>246</v>
      </c>
      <c r="F5" t="s">
        <v>247</v>
      </c>
      <c r="G5" t="s">
        <v>248</v>
      </c>
      <c r="H5" t="s">
        <v>249</v>
      </c>
      <c r="I5" t="s">
        <v>250</v>
      </c>
      <c r="J5" t="s">
        <v>251</v>
      </c>
      <c r="K5" t="s">
        <v>252</v>
      </c>
      <c r="L5" t="s">
        <v>253</v>
      </c>
      <c r="M5" t="s">
        <v>254</v>
      </c>
      <c r="N5" t="s">
        <v>255</v>
      </c>
    </row>
    <row r="6" spans="1:14" ht="15" x14ac:dyDescent="0.25">
      <c r="A6" s="15" t="s">
        <v>131</v>
      </c>
    </row>
    <row r="7" spans="1:14" x14ac:dyDescent="0.2">
      <c r="A7" t="s">
        <v>135</v>
      </c>
      <c r="B7" s="25">
        <f>SUM(C7:N7)</f>
        <v>78000</v>
      </c>
      <c r="C7" s="25">
        <v>78000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</row>
    <row r="8" spans="1:14" ht="15" x14ac:dyDescent="0.25">
      <c r="A8" t="s">
        <v>138</v>
      </c>
      <c r="B8" s="26">
        <f t="shared" ref="B8:B24" si="0">SUM(C8:N8)</f>
        <v>78000</v>
      </c>
      <c r="C8" s="26">
        <v>78000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</row>
    <row r="9" spans="1:14" x14ac:dyDescent="0.2"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</row>
    <row r="10" spans="1:14" ht="15" x14ac:dyDescent="0.25">
      <c r="A10" s="14" t="s">
        <v>137</v>
      </c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</row>
    <row r="11" spans="1:14" x14ac:dyDescent="0.2">
      <c r="A11" t="s">
        <v>139</v>
      </c>
      <c r="B11" s="25">
        <f t="shared" si="0"/>
        <v>26880</v>
      </c>
      <c r="C11" s="25">
        <v>26880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</row>
    <row r="12" spans="1:14" x14ac:dyDescent="0.2">
      <c r="A12" t="s">
        <v>140</v>
      </c>
      <c r="B12" s="25">
        <f t="shared" si="0"/>
        <v>3360</v>
      </c>
      <c r="C12" s="25">
        <v>3360</v>
      </c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</row>
    <row r="13" spans="1:14" x14ac:dyDescent="0.2">
      <c r="A13" t="s">
        <v>141</v>
      </c>
      <c r="B13" s="25">
        <f t="shared" si="0"/>
        <v>32250</v>
      </c>
      <c r="C13" s="25">
        <v>32250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</row>
    <row r="14" spans="1:14" x14ac:dyDescent="0.2">
      <c r="A14" t="s">
        <v>143</v>
      </c>
      <c r="B14" s="25">
        <f t="shared" si="0"/>
        <v>51540</v>
      </c>
      <c r="C14" s="25">
        <v>51540</v>
      </c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</row>
    <row r="15" spans="1:14" x14ac:dyDescent="0.2"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</row>
    <row r="16" spans="1:14" x14ac:dyDescent="0.2">
      <c r="A16" t="s">
        <v>142</v>
      </c>
      <c r="B16" s="25">
        <f t="shared" si="0"/>
        <v>1281</v>
      </c>
      <c r="C16" s="25">
        <v>1281</v>
      </c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</row>
    <row r="17" spans="1:14" x14ac:dyDescent="0.2">
      <c r="A17" t="s">
        <v>151</v>
      </c>
      <c r="B17" s="25">
        <f t="shared" si="0"/>
        <v>2000</v>
      </c>
      <c r="C17" s="25">
        <v>2000</v>
      </c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</row>
    <row r="18" spans="1:14" x14ac:dyDescent="0.2">
      <c r="A18" t="s">
        <v>144</v>
      </c>
      <c r="B18" s="25">
        <f t="shared" si="0"/>
        <v>0</v>
      </c>
      <c r="C18" s="25">
        <v>0</v>
      </c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</row>
    <row r="19" spans="1:14" x14ac:dyDescent="0.2">
      <c r="A19" t="s">
        <v>145</v>
      </c>
      <c r="B19" s="25">
        <f t="shared" si="0"/>
        <v>20708</v>
      </c>
      <c r="C19" s="25">
        <v>20708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</row>
    <row r="20" spans="1:14" x14ac:dyDescent="0.2">
      <c r="A20" t="s">
        <v>146</v>
      </c>
      <c r="B20" s="25">
        <f t="shared" si="0"/>
        <v>23988</v>
      </c>
      <c r="C20" s="25">
        <v>23988</v>
      </c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</row>
    <row r="21" spans="1:14" x14ac:dyDescent="0.2"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</row>
    <row r="22" spans="1:14" ht="15" x14ac:dyDescent="0.25">
      <c r="A22" t="s">
        <v>147</v>
      </c>
      <c r="B22" s="26">
        <f t="shared" si="0"/>
        <v>86478</v>
      </c>
      <c r="C22" s="26">
        <v>86478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</row>
    <row r="23" spans="1:14" ht="15" thickBot="1" x14ac:dyDescent="0.25"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</row>
    <row r="24" spans="1:14" ht="18.75" thickBot="1" x14ac:dyDescent="0.3">
      <c r="A24" s="33" t="s">
        <v>150</v>
      </c>
      <c r="B24" s="57">
        <f t="shared" si="0"/>
        <v>-8478</v>
      </c>
      <c r="C24" s="54">
        <v>-8478</v>
      </c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8"/>
  <sheetViews>
    <sheetView workbookViewId="0">
      <selection activeCell="A4" sqref="A4"/>
    </sheetView>
  </sheetViews>
  <sheetFormatPr defaultRowHeight="14.25" x14ac:dyDescent="0.2"/>
  <cols>
    <col min="1" max="1" width="47.875" customWidth="1"/>
    <col min="2" max="2" width="10.375" customWidth="1"/>
    <col min="3" max="3" width="53.125" customWidth="1"/>
  </cols>
  <sheetData>
    <row r="1" spans="1:3" ht="18" x14ac:dyDescent="0.25">
      <c r="B1" s="32" t="s">
        <v>226</v>
      </c>
    </row>
    <row r="2" spans="1:3" ht="15.75" x14ac:dyDescent="0.25">
      <c r="B2" s="2" t="s">
        <v>308</v>
      </c>
    </row>
    <row r="3" spans="1:3" ht="15" x14ac:dyDescent="0.25">
      <c r="B3" s="1" t="s">
        <v>164</v>
      </c>
      <c r="C3" s="42">
        <f>Costs!C3</f>
        <v>1</v>
      </c>
    </row>
    <row r="4" spans="1:3" ht="15" thickBot="1" x14ac:dyDescent="0.25"/>
    <row r="5" spans="1:3" x14ac:dyDescent="0.2">
      <c r="A5" s="46" t="str">
        <f>IF(HLOOKUP($C$3,'Problems table'!$A$3:$N$28,3)&gt;0,"Saw down "&amp;HLOOKUP($C$3,'Problems table'!$A$3:$N$28,3)&amp;" days due to late tubes","")</f>
        <v>Saw down 2 days due to late tubes</v>
      </c>
      <c r="B5" s="47"/>
      <c r="C5" s="48" t="str">
        <f>IF(Capacity!I21&gt;0,"Saw works overtime to try and meet production"," ")</f>
        <v xml:space="preserve"> </v>
      </c>
    </row>
    <row r="6" spans="1:3" x14ac:dyDescent="0.2">
      <c r="A6" s="49" t="str">
        <f>IF(HLOOKUP($C$3,'Problems table'!$A$3:$N$28,4)&gt;0,"Saw down "&amp;HLOOKUP($C$3,'Problems table'!$A$3:$N$28,4)&amp;" days due to machine breakdown","")</f>
        <v>Saw down 3 days due to machine breakdown</v>
      </c>
      <c r="B6" s="40"/>
      <c r="C6" s="50" t="str">
        <f>IF(Capacity!J21&lt;200,"Saw cannot meet production due to capacity constraint"," ")</f>
        <v xml:space="preserve"> </v>
      </c>
    </row>
    <row r="7" spans="1:3" x14ac:dyDescent="0.2">
      <c r="A7" s="49" t="str">
        <f>IF(HLOOKUP($C$3,'Problems table'!$A$3:$N$28,5)&gt;0,"Drill press down "&amp;HLOOKUP($C$3,'Problems table'!$A$3:$N$28,5)&amp;" days due to late parts from saw","")</f>
        <v/>
      </c>
      <c r="B7" s="40"/>
      <c r="C7" s="50"/>
    </row>
    <row r="8" spans="1:3" x14ac:dyDescent="0.2">
      <c r="A8" s="49" t="str">
        <f>IF(HLOOKUP($C$3,'Problems table'!$A$3:$N$28,6)&gt;0,"Drill press down "&amp;HLOOKUP($C$3,'Problems table'!$A$3:$N$28,6)&amp;" days due to machine breakdown","")</f>
        <v/>
      </c>
      <c r="B8" s="40"/>
      <c r="C8" s="50" t="str">
        <f>IF(Capacity!I22&gt;0,"Drill press works overtime to try and meet production"," ")</f>
        <v xml:space="preserve"> </v>
      </c>
    </row>
    <row r="9" spans="1:3" x14ac:dyDescent="0.2">
      <c r="A9" s="49" t="str">
        <f>IF(HLOOKUP($C$3,'Problems table'!$A$3:$N$28,7)&gt;0,"Drill press down "&amp;HLOOKUP($C$3,'Problems table'!$A$3:$N$28,7)&amp;" days due to quality problem","")</f>
        <v>Drill press down 0.5 days due to quality problem</v>
      </c>
      <c r="B9" s="40"/>
      <c r="C9" s="50" t="str">
        <f>IF(Capacity!J22&lt;200,"Drill press cannot meet production due to capacity constraint"," ")</f>
        <v xml:space="preserve"> </v>
      </c>
    </row>
    <row r="10" spans="1:3" x14ac:dyDescent="0.2">
      <c r="A10" s="49" t="str">
        <f>IF(HLOOKUP($C$3,'Problems table'!$A$3:$N$28,8)&gt;0,"Tube bender down "&amp;HLOOKUP($C$3,'Problems table'!$A$3:$N$28,8)&amp;" days due to late parts from drill","")</f>
        <v/>
      </c>
      <c r="B10" s="40"/>
      <c r="C10" s="50"/>
    </row>
    <row r="11" spans="1:3" x14ac:dyDescent="0.2">
      <c r="A11" s="49" t="str">
        <f>IF(HLOOKUP($C$3,'Problems table'!$A$3:$N$28,9)&gt;0,"Tube bender down "&amp;HLOOKUP($C$3,'Problems table'!$A$3:$N$28,9)&amp;" days due to machine breakdown","")</f>
        <v/>
      </c>
      <c r="B11" s="40"/>
      <c r="C11" s="50" t="str">
        <f>IF(Capacity!I23&gt;0,"Tube bender works overtime to try and meet production"," ")</f>
        <v xml:space="preserve"> </v>
      </c>
    </row>
    <row r="12" spans="1:3" x14ac:dyDescent="0.2">
      <c r="A12" s="49" t="str">
        <f>IF(HLOOKUP($C$3,'Problems table'!$A$3:$N$28,10)&gt;0,"Tube bender down "&amp;HLOOKUP($C$3,'Problems table'!$A$3:$N$28,10)&amp;" days due to quality problem","")</f>
        <v>Tube bender down 0.5 days due to quality problem</v>
      </c>
      <c r="B12" s="40"/>
      <c r="C12" s="50" t="str">
        <f>IF(Capacity!J23&lt;200,"Tube bender cannot meet production due to capacity constraint"," ")</f>
        <v xml:space="preserve"> </v>
      </c>
    </row>
    <row r="13" spans="1:3" x14ac:dyDescent="0.2">
      <c r="A13" s="49" t="str">
        <f>IF(HLOOKUP($C$3,'Problems table'!$A$3:$N$28,11)&gt;0,"Tube bender down "&amp;HLOOKUP($C$3,'Problems table'!$A$3:$N$28,11)&amp;" days due to bad parts from drill","")</f>
        <v>Tube bender down 0.5 days due to bad parts from drill</v>
      </c>
      <c r="B13" s="40"/>
      <c r="C13" s="50"/>
    </row>
    <row r="14" spans="1:3" x14ac:dyDescent="0.2">
      <c r="A14" s="49" t="str">
        <f>IF(HLOOKUP($C$3,'Problems table'!$A$3:$N$28,12)&gt;0,"Welding down "&amp;HLOOKUP($C$3,'Problems table'!$A$3:$N$28,12)&amp;" days due to late parts from metal cell","")</f>
        <v>Welding down 0.5 days due to late parts from metal cell</v>
      </c>
      <c r="B14" s="40"/>
      <c r="C14" s="50" t="str">
        <f>IF(Capacity!I24&gt;0,"Welding works overtime to try and meet production"," ")</f>
        <v>Welding works overtime to try and meet production</v>
      </c>
    </row>
    <row r="15" spans="1:3" x14ac:dyDescent="0.2">
      <c r="A15" s="49" t="str">
        <f>IF(HLOOKUP($C$3,'Problems table'!$A$3:$N$28,13)&gt;0,"Welding down "&amp;HLOOKUP($C$3,'Problems table'!$A$3:$N$28,13)&amp;" days due to machine breakdown","")</f>
        <v>Welding down 2 days due to machine breakdown</v>
      </c>
      <c r="B15" s="40"/>
      <c r="C15" s="50" t="str">
        <f>IF(Capacity!J24&lt;200,"Welding cannot meet production due to capacity constraint"," ")</f>
        <v>Welding cannot meet production due to capacity constraint</v>
      </c>
    </row>
    <row r="16" spans="1:3" x14ac:dyDescent="0.2">
      <c r="A16" s="49" t="str">
        <f>IF(HLOOKUP($C$3,'Problems table'!$A$3:$N$28,14)&gt;0,"Welding down "&amp;HLOOKUP($C$3,'Problems table'!$A$3:$N$28,14)&amp;" days due to quality problem","")</f>
        <v>Welding down 2 days due to quality problem</v>
      </c>
      <c r="B16" s="40"/>
      <c r="C16" s="50"/>
    </row>
    <row r="17" spans="1:3" x14ac:dyDescent="0.2">
      <c r="A17" s="49" t="str">
        <f>IF(HLOOKUP($C$3,'Problems table'!$A$3:$N$28,15)&gt;0,"Grinder down "&amp;HLOOKUP($C$3,'Problems table'!$A$3:$N$28,15)&amp;" days due to late parts from welding","")</f>
        <v>Grinder down 4.6 days due to late parts from welding</v>
      </c>
      <c r="B17" s="40"/>
      <c r="C17" s="50" t="str">
        <f>IF(Capacity!I25&gt;0,"Grinder works overtime to try and meet production"," ")</f>
        <v>Grinder works overtime to try and meet production</v>
      </c>
    </row>
    <row r="18" spans="1:3" x14ac:dyDescent="0.2">
      <c r="A18" s="49" t="str">
        <f>IF(HLOOKUP($C$3,'Problems table'!$A$3:$N$28,16)&gt;0,"Grinder down "&amp;HLOOKUP($C$3,'Problems table'!$A$3:$N$28,16)&amp;" days due to bad parts from welding","")</f>
        <v>Grinder down 2 days due to bad parts from welding</v>
      </c>
      <c r="B18" s="40"/>
      <c r="C18" s="50" t="str">
        <f>IF(Capacity!J25&lt;200,"Grinder cannot meet production due to capacity constraint"," ")</f>
        <v>Grinder cannot meet production due to capacity constraint</v>
      </c>
    </row>
    <row r="19" spans="1:3" x14ac:dyDescent="0.2">
      <c r="A19" s="49" t="str">
        <f>IF(HLOOKUP($C$3,'Problems table'!$A$3:$N$28,17)&gt;0,"Paint booth down "&amp;HLOOKUP($C$3,'Problems table'!$A$3:$N$28,17)&amp;" days due to late parts from grinder","")</f>
        <v>Paint booth down 0.4 days due to late parts from grinder</v>
      </c>
      <c r="B19" s="40"/>
      <c r="C19" s="50"/>
    </row>
    <row r="20" spans="1:3" x14ac:dyDescent="0.2">
      <c r="A20" s="49" t="str">
        <f>IF(HLOOKUP($C$3,'Problems table'!$A$3:$N$28,18)&gt;0,"Paint booth down "&amp;HLOOKUP($C$3,'Problems table'!$A$3:$N$28,18)&amp;" days due to machine breakdown","")</f>
        <v/>
      </c>
      <c r="B20" s="40"/>
      <c r="C20" s="50" t="str">
        <f>IF(Capacity!I26&gt;0,"Paint booth works overtime to try and meet production"," ")</f>
        <v>Paint booth works overtime to try and meet production</v>
      </c>
    </row>
    <row r="21" spans="1:3" x14ac:dyDescent="0.2">
      <c r="A21" s="49" t="str">
        <f>IF(HLOOKUP($C$3,'Problems table'!$A$3:$N$28,19)&gt;0,"Paint booth down "&amp;HLOOKUP($C$3,'Problems table'!$A$3:$N$28,19)&amp;" days due to bad parts from welding","")</f>
        <v>Paint booth down 2 days due to bad parts from welding</v>
      </c>
      <c r="B21" s="40"/>
      <c r="C21" s="50" t="str">
        <f>IF(Capacity!J26&lt;200,"Paint booth cannot meet production due to capacity constraint"," ")</f>
        <v xml:space="preserve"> </v>
      </c>
    </row>
    <row r="22" spans="1:3" x14ac:dyDescent="0.2">
      <c r="A22" s="49" t="str">
        <f>IF(HLOOKUP($C$3,'Problems table'!$A$3:$N$28,20)&gt;0,"Fabric cutter down "&amp;HLOOKUP($C$3,'Problems table'!$A$3:$N$28,20)&amp;" days due to late nylon","")</f>
        <v/>
      </c>
      <c r="B22" s="40"/>
      <c r="C22" s="50" t="str">
        <f>IF(Capacity!I27&gt;0,"Fabric cut works overtime to try and meet production"," ")</f>
        <v xml:space="preserve"> </v>
      </c>
    </row>
    <row r="23" spans="1:3" x14ac:dyDescent="0.2">
      <c r="A23" s="49" t="str">
        <f>IF(HLOOKUP($C$3,'Problems table'!$A$3:$N$28,21)&gt;0,"Sewing down "&amp;HLOOKUP($C$3,'Problems table'!$A$3:$N$28,21)&amp;" days due to late parts from fabric cutter","")</f>
        <v/>
      </c>
      <c r="B23" s="40"/>
      <c r="C23" s="50" t="str">
        <f>IF(Capacity!J27&lt;200,"Fabric cutter cannot meet production due to capacity constraint"," ")</f>
        <v xml:space="preserve"> </v>
      </c>
    </row>
    <row r="24" spans="1:3" x14ac:dyDescent="0.2">
      <c r="A24" s="49" t="str">
        <f>IF(HLOOKUP($C$3,'Problems table'!$A$3:$N$28,22)&gt;0,"Sewing down "&amp;HLOOKUP($C$3,'Problems table'!$A$3:$N$28,22)&amp;" days due to machine breakdown","")</f>
        <v>Sewing down 2 days due to machine breakdown</v>
      </c>
      <c r="B24" s="40"/>
      <c r="C24" s="50" t="str">
        <f>IF(Capacity!I28&gt;0,"Sewing works overtime to try and meet production"," ")</f>
        <v xml:space="preserve"> </v>
      </c>
    </row>
    <row r="25" spans="1:3" x14ac:dyDescent="0.2">
      <c r="A25" s="49" t="str">
        <f>IF(HLOOKUP($C$3,'Problems table'!$A$3:$N$28,23)&gt;0,"Sewing down "&amp;HLOOKUP($C$3,'Problems table'!$A$3:$N$28,23)&amp;" days due to quality problem","")</f>
        <v>Sewing down 1 days due to quality problem</v>
      </c>
      <c r="B25" s="40"/>
      <c r="C25" s="50" t="str">
        <f>IF(Capacity!J28&lt;200,"Sewing cannot meet production due to capacity constraint"," ")</f>
        <v xml:space="preserve"> </v>
      </c>
    </row>
    <row r="26" spans="1:3" x14ac:dyDescent="0.2">
      <c r="A26" s="49" t="str">
        <f>IF(HLOOKUP($C$3,'Problems table'!$A$3:$N$28,24)&gt;0,"Assembly down "&amp;HLOOKUP($C$3,'Problems table'!$A$3:$N$28,24)&amp;" days due to late "&amp;HLOOKUP($C$3,'Problems table'!$A$3:$N$30,28),"")</f>
        <v/>
      </c>
      <c r="B26" s="40"/>
      <c r="C26" s="50" t="str">
        <f>IF(Capacity!I29&gt;0,"Assembly works overtime to try and meet production"," ")</f>
        <v xml:space="preserve"> </v>
      </c>
    </row>
    <row r="27" spans="1:3" x14ac:dyDescent="0.2">
      <c r="A27" s="49" t="str">
        <f>IF(HLOOKUP($C$3,'Problems table'!$A$3:$N$28,25)&gt;0,"Assembly down "&amp;HLOOKUP($C$3,'Problems table'!$A$3:$N$28,25)&amp;" days due to late parts from paint booth","")</f>
        <v>Assembly down 2.5 days due to late parts from paint booth</v>
      </c>
      <c r="B27" s="40"/>
      <c r="C27" s="50" t="str">
        <f>IF(Capacity!J29&lt;200,"Assembly cannot meet production due to capacity constraint"," ")</f>
        <v xml:space="preserve"> </v>
      </c>
    </row>
    <row r="28" spans="1:3" ht="15" thickBot="1" x14ac:dyDescent="0.25">
      <c r="A28" s="51" t="str">
        <f>IF(HLOOKUP($C$3,'Problems table'!$A$3:$N$28,26)&gt;0,"Assembly down "&amp;HLOOKUP($C$3,'Problems table'!$A$3:$N$28,26)&amp;" days due to quality problem","")</f>
        <v/>
      </c>
      <c r="B28" s="52"/>
      <c r="C28" s="5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31"/>
  <sheetViews>
    <sheetView workbookViewId="0">
      <selection activeCell="A16" sqref="A16"/>
    </sheetView>
  </sheetViews>
  <sheetFormatPr defaultRowHeight="14.25" x14ac:dyDescent="0.2"/>
  <cols>
    <col min="1" max="1" width="11.75" customWidth="1"/>
    <col min="3" max="3" width="9.625" customWidth="1"/>
    <col min="11" max="11" width="10.5" customWidth="1"/>
    <col min="14" max="14" width="9.75" customWidth="1"/>
    <col min="21" max="21" width="10.375" customWidth="1"/>
  </cols>
  <sheetData>
    <row r="1" spans="1:16" ht="18" x14ac:dyDescent="0.25">
      <c r="B1" s="32" t="s">
        <v>226</v>
      </c>
    </row>
    <row r="2" spans="1:16" ht="15" x14ac:dyDescent="0.25">
      <c r="B2" s="1" t="s">
        <v>227</v>
      </c>
    </row>
    <row r="3" spans="1:16" ht="15.75" x14ac:dyDescent="0.25">
      <c r="B3" s="36" t="s">
        <v>164</v>
      </c>
      <c r="C3" s="1">
        <f>Costs!C3</f>
        <v>1</v>
      </c>
      <c r="F3">
        <v>200</v>
      </c>
      <c r="G3" t="s">
        <v>198</v>
      </c>
      <c r="I3">
        <v>450</v>
      </c>
      <c r="J3" t="s">
        <v>197</v>
      </c>
    </row>
    <row r="5" spans="1:16" x14ac:dyDescent="0.2">
      <c r="B5" t="s">
        <v>30</v>
      </c>
      <c r="C5" t="s">
        <v>242</v>
      </c>
      <c r="E5" t="s">
        <v>199</v>
      </c>
      <c r="J5" t="s">
        <v>242</v>
      </c>
    </row>
    <row r="6" spans="1:16" x14ac:dyDescent="0.2">
      <c r="A6" s="3" t="s">
        <v>31</v>
      </c>
      <c r="B6" s="3" t="s">
        <v>2</v>
      </c>
      <c r="C6" s="3" t="s">
        <v>327</v>
      </c>
      <c r="D6" s="5" t="s">
        <v>47</v>
      </c>
      <c r="E6" s="5" t="s">
        <v>46</v>
      </c>
      <c r="F6" s="5" t="s">
        <v>44</v>
      </c>
      <c r="G6" s="5" t="s">
        <v>45</v>
      </c>
      <c r="H6" s="5" t="s">
        <v>106</v>
      </c>
      <c r="I6" s="5" t="s">
        <v>200</v>
      </c>
      <c r="J6" s="5" t="s">
        <v>161</v>
      </c>
    </row>
    <row r="7" spans="1:16" x14ac:dyDescent="0.2">
      <c r="A7" t="s">
        <v>34</v>
      </c>
      <c r="B7">
        <f>Processes!B6</f>
        <v>1</v>
      </c>
      <c r="C7">
        <f>Processes!C6</f>
        <v>2</v>
      </c>
      <c r="D7">
        <f>Processes!D6</f>
        <v>14</v>
      </c>
      <c r="E7">
        <f>Processes!F6</f>
        <v>10.4</v>
      </c>
      <c r="F7" s="38">
        <f>Processes!G6</f>
        <v>0.9</v>
      </c>
      <c r="G7" s="38">
        <f>Processes!H6</f>
        <v>0.97</v>
      </c>
      <c r="H7" s="38">
        <f>Processes!I6</f>
        <v>1</v>
      </c>
      <c r="I7">
        <f>Processes!J6</f>
        <v>40</v>
      </c>
      <c r="J7">
        <f>Processes!K6</f>
        <v>2</v>
      </c>
    </row>
    <row r="8" spans="1:16" x14ac:dyDescent="0.2">
      <c r="A8" t="s">
        <v>35</v>
      </c>
      <c r="B8">
        <f>Processes!B7</f>
        <v>1</v>
      </c>
      <c r="C8">
        <f>Processes!C7</f>
        <v>2</v>
      </c>
      <c r="D8">
        <f>Processes!D7</f>
        <v>4</v>
      </c>
      <c r="E8">
        <f>Processes!F7</f>
        <v>16</v>
      </c>
      <c r="F8" s="38">
        <f>Processes!G7</f>
        <v>0.9</v>
      </c>
      <c r="G8" s="38">
        <f>Processes!H7</f>
        <v>0.97</v>
      </c>
      <c r="H8" s="38">
        <f>Processes!I7</f>
        <v>0.98</v>
      </c>
      <c r="I8">
        <f>Processes!J7</f>
        <v>40</v>
      </c>
      <c r="J8">
        <f>Processes!K7</f>
        <v>2</v>
      </c>
    </row>
    <row r="9" spans="1:16" x14ac:dyDescent="0.2">
      <c r="A9" t="s">
        <v>51</v>
      </c>
      <c r="B9">
        <f>Processes!B8</f>
        <v>1</v>
      </c>
      <c r="C9">
        <f>Processes!C8</f>
        <v>5</v>
      </c>
      <c r="D9">
        <f>Processes!D8</f>
        <v>8</v>
      </c>
      <c r="E9">
        <f>Processes!F8</f>
        <v>33</v>
      </c>
      <c r="F9" s="38">
        <f>Processes!G8</f>
        <v>0.9</v>
      </c>
      <c r="G9" s="38">
        <f>Processes!H8</f>
        <v>0.99</v>
      </c>
      <c r="H9" s="38">
        <f>Processes!I8</f>
        <v>0.98</v>
      </c>
      <c r="I9">
        <f>Processes!J8</f>
        <v>40</v>
      </c>
      <c r="J9">
        <f>Processes!K8</f>
        <v>2</v>
      </c>
    </row>
    <row r="10" spans="1:16" x14ac:dyDescent="0.2">
      <c r="A10" t="s">
        <v>42</v>
      </c>
      <c r="B10">
        <f>Processes!B9</f>
        <v>2</v>
      </c>
      <c r="C10">
        <f>Processes!C9</f>
        <v>10</v>
      </c>
      <c r="D10">
        <f>Processes!D9</f>
        <v>5</v>
      </c>
      <c r="E10">
        <f>Processes!F9</f>
        <v>106</v>
      </c>
      <c r="F10" s="38">
        <f>Processes!G9</f>
        <v>0.9</v>
      </c>
      <c r="G10" s="38">
        <f>Processes!H9</f>
        <v>0.95</v>
      </c>
      <c r="H10" s="38">
        <f>Processes!I9</f>
        <v>0.95</v>
      </c>
      <c r="I10">
        <f>Processes!J9</f>
        <v>40</v>
      </c>
      <c r="J10">
        <f>Processes!K9</f>
        <v>2</v>
      </c>
    </row>
    <row r="11" spans="1:16" x14ac:dyDescent="0.2">
      <c r="A11" t="s">
        <v>196</v>
      </c>
      <c r="B11">
        <f>Processes!B10</f>
        <v>1</v>
      </c>
      <c r="C11">
        <f>Processes!C10</f>
        <v>0</v>
      </c>
      <c r="D11">
        <f>Processes!D10</f>
        <v>5</v>
      </c>
      <c r="E11">
        <f>Processes!F10</f>
        <v>34</v>
      </c>
      <c r="F11" s="38">
        <f>Processes!G10</f>
        <v>0.9</v>
      </c>
      <c r="G11" s="38">
        <f>Processes!H10</f>
        <v>1</v>
      </c>
      <c r="H11" s="38">
        <f>Processes!I10</f>
        <v>1</v>
      </c>
      <c r="I11">
        <f>Processes!J10</f>
        <v>40</v>
      </c>
      <c r="J11">
        <f>Processes!K10</f>
        <v>2</v>
      </c>
    </row>
    <row r="12" spans="1:16" x14ac:dyDescent="0.2">
      <c r="A12" t="s">
        <v>36</v>
      </c>
      <c r="B12">
        <f>Processes!B11</f>
        <v>1</v>
      </c>
      <c r="C12">
        <f>Processes!C11</f>
        <v>15</v>
      </c>
      <c r="D12">
        <f>Processes!D11</f>
        <v>4</v>
      </c>
      <c r="E12">
        <f>Processes!F11</f>
        <v>38</v>
      </c>
      <c r="F12" s="38">
        <f>Processes!G11</f>
        <v>0.9</v>
      </c>
      <c r="G12" s="38">
        <f>Processes!H11</f>
        <v>0.98</v>
      </c>
      <c r="H12" s="38">
        <f>Processes!I11</f>
        <v>1</v>
      </c>
      <c r="I12">
        <f>Processes!J11</f>
        <v>40</v>
      </c>
      <c r="J12">
        <f>Processes!K11</f>
        <v>2</v>
      </c>
    </row>
    <row r="13" spans="1:16" x14ac:dyDescent="0.2">
      <c r="A13" t="s">
        <v>76</v>
      </c>
      <c r="B13">
        <f>Processes!B12</f>
        <v>1</v>
      </c>
      <c r="C13">
        <f>Processes!C12</f>
        <v>0</v>
      </c>
      <c r="D13">
        <f>Processes!D12</f>
        <v>2</v>
      </c>
      <c r="E13">
        <f>Processes!F12</f>
        <v>12</v>
      </c>
      <c r="F13" s="38">
        <f>Processes!G12</f>
        <v>0.9</v>
      </c>
      <c r="G13" s="38">
        <f>Processes!H12</f>
        <v>1</v>
      </c>
      <c r="H13" s="38">
        <f>Processes!I12</f>
        <v>1</v>
      </c>
      <c r="I13">
        <f>Processes!J12</f>
        <v>20</v>
      </c>
      <c r="J13">
        <f>Processes!K12</f>
        <v>2</v>
      </c>
      <c r="L13" s="27"/>
      <c r="M13" s="27"/>
      <c r="N13" s="27"/>
      <c r="O13" s="27"/>
      <c r="P13" s="27"/>
    </row>
    <row r="14" spans="1:16" x14ac:dyDescent="0.2">
      <c r="A14" t="s">
        <v>38</v>
      </c>
      <c r="B14">
        <f>Processes!B13</f>
        <v>2</v>
      </c>
      <c r="C14">
        <f>Processes!C13</f>
        <v>5</v>
      </c>
      <c r="D14">
        <f>Processes!D13</f>
        <v>2</v>
      </c>
      <c r="E14">
        <f>Processes!F13</f>
        <v>42</v>
      </c>
      <c r="F14" s="38">
        <f>Processes!G13</f>
        <v>0.9</v>
      </c>
      <c r="G14" s="38">
        <f>Processes!H13</f>
        <v>0.95</v>
      </c>
      <c r="H14" s="38">
        <f>Processes!I13</f>
        <v>0.98</v>
      </c>
      <c r="I14">
        <f>Processes!J13</f>
        <v>20</v>
      </c>
      <c r="J14">
        <f>Processes!K13</f>
        <v>2</v>
      </c>
    </row>
    <row r="15" spans="1:16" x14ac:dyDescent="0.2">
      <c r="A15" t="s">
        <v>79</v>
      </c>
      <c r="B15">
        <f>Processes!B14</f>
        <v>2</v>
      </c>
      <c r="C15">
        <f>Processes!C14</f>
        <v>0</v>
      </c>
      <c r="D15">
        <f>Processes!D14</f>
        <v>3</v>
      </c>
      <c r="E15">
        <f>Processes!F14</f>
        <v>65</v>
      </c>
      <c r="F15" s="38">
        <f>Processes!G14</f>
        <v>0.9</v>
      </c>
      <c r="G15" s="38">
        <f>Processes!H14</f>
        <v>1</v>
      </c>
      <c r="H15" s="38">
        <f>Processes!I14</f>
        <v>0.99</v>
      </c>
      <c r="I15">
        <f>Processes!J14</f>
        <v>1</v>
      </c>
      <c r="J15">
        <v>0</v>
      </c>
    </row>
    <row r="16" spans="1:16" x14ac:dyDescent="0.2">
      <c r="F16" s="38"/>
      <c r="G16" s="38"/>
      <c r="H16" s="38"/>
    </row>
    <row r="18" spans="1:16" x14ac:dyDescent="0.2">
      <c r="A18" s="62"/>
      <c r="B18" s="62"/>
      <c r="C18" s="62"/>
      <c r="D18" s="62"/>
      <c r="E18" s="62" t="s">
        <v>326</v>
      </c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</row>
    <row r="19" spans="1:16" x14ac:dyDescent="0.2">
      <c r="A19" s="62"/>
      <c r="B19" s="62" t="s">
        <v>278</v>
      </c>
      <c r="C19" s="62" t="s">
        <v>314</v>
      </c>
      <c r="D19" s="62" t="s">
        <v>320</v>
      </c>
      <c r="E19" s="62" t="s">
        <v>277</v>
      </c>
      <c r="F19" s="63" t="s">
        <v>278</v>
      </c>
      <c r="G19" s="62" t="s">
        <v>281</v>
      </c>
      <c r="H19" s="62" t="s">
        <v>284</v>
      </c>
      <c r="I19" s="62" t="s">
        <v>279</v>
      </c>
      <c r="J19" s="62" t="s">
        <v>330</v>
      </c>
      <c r="K19" s="62" t="s">
        <v>331</v>
      </c>
      <c r="L19" s="62" t="s">
        <v>336</v>
      </c>
      <c r="M19" s="62" t="s">
        <v>345</v>
      </c>
      <c r="N19" s="62" t="s">
        <v>334</v>
      </c>
      <c r="O19" s="62" t="s">
        <v>314</v>
      </c>
      <c r="P19" s="62"/>
    </row>
    <row r="20" spans="1:16" x14ac:dyDescent="0.2">
      <c r="A20" s="70" t="s">
        <v>31</v>
      </c>
      <c r="B20" s="63" t="s">
        <v>315</v>
      </c>
      <c r="C20" s="63" t="s">
        <v>319</v>
      </c>
      <c r="D20" s="63" t="s">
        <v>318</v>
      </c>
      <c r="E20" s="63" t="s">
        <v>315</v>
      </c>
      <c r="F20" s="63" t="s">
        <v>316</v>
      </c>
      <c r="G20" s="70" t="s">
        <v>279</v>
      </c>
      <c r="H20" s="70" t="s">
        <v>279</v>
      </c>
      <c r="I20" s="70" t="s">
        <v>280</v>
      </c>
      <c r="J20" s="70" t="s">
        <v>328</v>
      </c>
      <c r="K20" s="70" t="s">
        <v>329</v>
      </c>
      <c r="L20" s="70" t="s">
        <v>329</v>
      </c>
      <c r="M20" s="63" t="s">
        <v>335</v>
      </c>
      <c r="N20" s="70" t="s">
        <v>329</v>
      </c>
      <c r="O20" s="70" t="s">
        <v>346</v>
      </c>
      <c r="P20" s="62"/>
    </row>
    <row r="21" spans="1:16" x14ac:dyDescent="0.2">
      <c r="A21" s="62" t="s">
        <v>34</v>
      </c>
      <c r="B21" s="64">
        <f t="shared" ref="B21:B29" si="0">($F$3*E7+D7*$F$3*2/I7*(C7+J7))</f>
        <v>2640</v>
      </c>
      <c r="C21" s="65">
        <f>HLOOKUP($C$3,'Problems table'!$A$3:$N$28,4)</f>
        <v>3</v>
      </c>
      <c r="D21" s="65">
        <f>IF('Lean ideas'!F22="yes",HLOOKUP($C$3,'Problems table'!$A$3:$N$28,3),0)</f>
        <v>0</v>
      </c>
      <c r="E21" s="64">
        <f t="shared" ref="E21:E29" si="1">(20-C21/B7-D21)*$I$3*F7*G7</f>
        <v>6678.45</v>
      </c>
      <c r="F21" s="66">
        <f t="shared" ref="F21:F29" si="2">B21/E21</f>
        <v>0.39530130494351234</v>
      </c>
      <c r="G21" s="67">
        <f t="shared" ref="G21:G29" si="3">MIN(B7,ROUNDUP(F21,0))</f>
        <v>1</v>
      </c>
      <c r="H21" s="67">
        <f>IF('Lean ideas'!F17="yes",MIN(B7+B8+B9,ROUNDUP(F21+F22+F23,0)),SUM(G21:G23))</f>
        <v>3</v>
      </c>
      <c r="I21" s="65">
        <f t="shared" ref="I21:I29" si="4">IF(G21-F21&lt;0,G21,IF((G21-F21)/G21&lt;0.05, G21/2,0))</f>
        <v>0</v>
      </c>
      <c r="J21" s="68">
        <f t="shared" ref="J21:J29" si="5">ROUNDDOWN($F$3*(G21+0.25*I21)*E21/B21,0)</f>
        <v>505</v>
      </c>
      <c r="K21" s="65">
        <v>40</v>
      </c>
      <c r="L21" s="62">
        <f>IF('Lean ideas'!F6="yes",0,3*I8)</f>
        <v>120</v>
      </c>
      <c r="M21" s="67">
        <f>MIN(J21,$F$3+L21-K21)</f>
        <v>280</v>
      </c>
      <c r="N21" s="67">
        <f>K21+M21-M22</f>
        <v>40</v>
      </c>
      <c r="O21" s="65">
        <f>MAX(C21-IF('Lean ideas'!$F$6="yes",0,IF('Lean ideas'!$F$8="yes",2,4)),0)+IF(J21&lt;$F$3,($F$3-J21)/10,0)</f>
        <v>0</v>
      </c>
      <c r="P21" s="65">
        <v>40</v>
      </c>
    </row>
    <row r="22" spans="1:16" x14ac:dyDescent="0.2">
      <c r="A22" s="62" t="s">
        <v>35</v>
      </c>
      <c r="B22" s="64">
        <f t="shared" si="0"/>
        <v>3360</v>
      </c>
      <c r="C22" s="65">
        <f>HLOOKUP($C$3,'Problems table'!$A$3:$N$28,6)+HLOOKUP($C$3,'Problems table'!$A$3:$N$28,7)</f>
        <v>0.5</v>
      </c>
      <c r="D22" s="65">
        <f>O21</f>
        <v>0</v>
      </c>
      <c r="E22" s="64">
        <f t="shared" si="1"/>
        <v>7660.5749999999998</v>
      </c>
      <c r="F22" s="66">
        <f t="shared" si="2"/>
        <v>0.43860937331727712</v>
      </c>
      <c r="G22" s="67">
        <f t="shared" si="3"/>
        <v>1</v>
      </c>
      <c r="H22" s="62"/>
      <c r="I22" s="65">
        <f t="shared" si="4"/>
        <v>0</v>
      </c>
      <c r="J22" s="68">
        <f t="shared" si="5"/>
        <v>455</v>
      </c>
      <c r="K22" s="65">
        <v>40</v>
      </c>
      <c r="L22" s="62">
        <f>IF('Lean ideas'!F6="yes",0,3*I9)</f>
        <v>120</v>
      </c>
      <c r="M22" s="67">
        <f>MIN(J22,$F$3+L22-K22,M21+K21)</f>
        <v>280</v>
      </c>
      <c r="N22" s="67">
        <f t="shared" ref="N22:N25" si="6">K22+M22-M23</f>
        <v>108</v>
      </c>
      <c r="O22" s="65">
        <f>MAX(C22-IF('Lean ideas'!$F$6="yes",0,IF('Lean ideas'!$F$8="yes",2,4)),0)+IF(J22&lt;$F$3,($F$3-J22)/10,0)</f>
        <v>0</v>
      </c>
      <c r="P22" s="65">
        <v>40</v>
      </c>
    </row>
    <row r="23" spans="1:16" x14ac:dyDescent="0.2">
      <c r="A23" s="62" t="s">
        <v>51</v>
      </c>
      <c r="B23" s="64">
        <f t="shared" si="0"/>
        <v>7160</v>
      </c>
      <c r="C23" s="65">
        <f>HLOOKUP($C$3,'Problems table'!$A$3:$N$28,9)+HLOOKUP($C$3,'Problems table'!$A$3:$N$28,10)+HLOOKUP($C$3,'Problems table'!$A$3:$N$28,11)</f>
        <v>1</v>
      </c>
      <c r="D23" s="65">
        <f>O22</f>
        <v>0</v>
      </c>
      <c r="E23" s="64">
        <f t="shared" si="1"/>
        <v>7618.05</v>
      </c>
      <c r="F23" s="66">
        <f t="shared" si="2"/>
        <v>0.9398730646293999</v>
      </c>
      <c r="G23" s="67">
        <f t="shared" si="3"/>
        <v>1</v>
      </c>
      <c r="H23" s="62"/>
      <c r="I23" s="65">
        <f t="shared" si="4"/>
        <v>0</v>
      </c>
      <c r="J23" s="68">
        <f t="shared" si="5"/>
        <v>212</v>
      </c>
      <c r="K23" s="65">
        <v>35</v>
      </c>
      <c r="L23" s="62">
        <f>IF('Lean ideas'!F7="yes",I9,3*I9)</f>
        <v>120</v>
      </c>
      <c r="M23" s="67">
        <f>MIN(J23,$F$3+L23-K23,M22+K22)</f>
        <v>212</v>
      </c>
      <c r="N23" s="67">
        <f t="shared" si="6"/>
        <v>93</v>
      </c>
      <c r="O23" s="65">
        <f>MAX(C23-IF('Lean ideas'!$F$8="yes",2,4),0)+IF(J23&lt;$F$3,($F$3-J23)/10,0)+IF(K23&lt;I9,(I9-K23)/10,0)</f>
        <v>0.5</v>
      </c>
      <c r="P23" s="65">
        <v>35</v>
      </c>
    </row>
    <row r="24" spans="1:16" x14ac:dyDescent="0.2">
      <c r="A24" s="62" t="s">
        <v>42</v>
      </c>
      <c r="B24" s="64">
        <f t="shared" si="0"/>
        <v>21800</v>
      </c>
      <c r="C24" s="65">
        <f>HLOOKUP($C$3,'Problems table'!$A$3:$N$28,13)+HLOOKUP($C$3,'Problems table'!$A$3:$N$28,14)</f>
        <v>4</v>
      </c>
      <c r="D24" s="65">
        <f>O23</f>
        <v>0.5</v>
      </c>
      <c r="E24" s="64">
        <f t="shared" si="1"/>
        <v>6733.125</v>
      </c>
      <c r="F24" s="66">
        <f t="shared" si="2"/>
        <v>3.2377239394783253</v>
      </c>
      <c r="G24" s="67">
        <f t="shared" si="3"/>
        <v>2</v>
      </c>
      <c r="H24" s="67">
        <f>IF('Lean ideas'!H17="yes",MIN(B10+B11+B12,ROUNDUP(F24+F25+F26,0)),SUM(G24:G26))</f>
        <v>4</v>
      </c>
      <c r="I24" s="65">
        <f t="shared" si="4"/>
        <v>2</v>
      </c>
      <c r="J24" s="68">
        <f t="shared" si="5"/>
        <v>154</v>
      </c>
      <c r="K24" s="65">
        <v>20</v>
      </c>
      <c r="L24" s="62">
        <f>IF('Lean ideas'!H6="yes",0,3*I11)</f>
        <v>120</v>
      </c>
      <c r="M24" s="67">
        <f>MIN(J24,$F$3+L24-K24,M23+K23)</f>
        <v>154</v>
      </c>
      <c r="N24" s="67">
        <f t="shared" si="6"/>
        <v>0</v>
      </c>
      <c r="O24" s="65">
        <f>MAX(C24-IF('Lean ideas'!$H$6="yes",0,IF('Lean ideas'!$H$8="yes",2,4)),0)+IF(J24&lt;$F$3,($F$3-J24)/10,0)</f>
        <v>4.5999999999999996</v>
      </c>
      <c r="P24" s="65">
        <v>20</v>
      </c>
    </row>
    <row r="25" spans="1:16" x14ac:dyDescent="0.2">
      <c r="A25" s="62" t="s">
        <v>196</v>
      </c>
      <c r="B25" s="64">
        <f t="shared" si="0"/>
        <v>6900</v>
      </c>
      <c r="C25" s="65">
        <f>HLOOKUP($C$3,'Problems table'!$A$3:$N$28,16)</f>
        <v>2</v>
      </c>
      <c r="D25" s="65">
        <f>O24</f>
        <v>4.5999999999999996</v>
      </c>
      <c r="E25" s="64">
        <f t="shared" si="1"/>
        <v>5427</v>
      </c>
      <c r="F25" s="66">
        <f t="shared" si="2"/>
        <v>1.271420674405749</v>
      </c>
      <c r="G25" s="67">
        <f t="shared" si="3"/>
        <v>1</v>
      </c>
      <c r="H25" s="62"/>
      <c r="I25" s="65">
        <f t="shared" si="4"/>
        <v>1</v>
      </c>
      <c r="J25" s="68">
        <f t="shared" si="5"/>
        <v>196</v>
      </c>
      <c r="K25" s="65">
        <v>15</v>
      </c>
      <c r="L25" s="62">
        <f>IF('Lean ideas'!H6="yes",0,3*I12)</f>
        <v>120</v>
      </c>
      <c r="M25" s="67">
        <f>MIN(J25,$F$3+L25-K25,M24+K24)</f>
        <v>174</v>
      </c>
      <c r="N25" s="67">
        <f t="shared" si="6"/>
        <v>0</v>
      </c>
      <c r="O25" s="65">
        <f>MAX(C25-IF('Lean ideas'!$H$6="yes",0,IF('Lean ideas'!$H$8="yes",2,4)),0)+IF(J25&lt;$F$3,($F$3-J25)/10,0)</f>
        <v>0.4</v>
      </c>
      <c r="P25" s="65">
        <v>15</v>
      </c>
    </row>
    <row r="26" spans="1:16" x14ac:dyDescent="0.2">
      <c r="A26" s="62" t="s">
        <v>36</v>
      </c>
      <c r="B26" s="64">
        <f t="shared" si="0"/>
        <v>8280</v>
      </c>
      <c r="C26" s="65">
        <f>HLOOKUP($C$3,'Problems table'!$A$3:$N$28,18)+HLOOKUP($C$3,'Problems table'!$A$3:$N$28,19)</f>
        <v>2</v>
      </c>
      <c r="D26" s="65">
        <f>O25</f>
        <v>0.4</v>
      </c>
      <c r="E26" s="64">
        <f t="shared" si="1"/>
        <v>6985.4400000000005</v>
      </c>
      <c r="F26" s="66">
        <f t="shared" si="2"/>
        <v>1.1853226138940425</v>
      </c>
      <c r="G26" s="67">
        <f t="shared" si="3"/>
        <v>1</v>
      </c>
      <c r="H26" s="62"/>
      <c r="I26" s="65">
        <f t="shared" si="4"/>
        <v>1</v>
      </c>
      <c r="J26" s="68">
        <f t="shared" si="5"/>
        <v>210</v>
      </c>
      <c r="K26" s="65">
        <v>15</v>
      </c>
      <c r="L26" s="62">
        <f>IF('Lean ideas'!H7="yes",I12,3*I12)</f>
        <v>120</v>
      </c>
      <c r="M26" s="67">
        <f>MIN(J26,$F$3+L26-K26,M25+K25)</f>
        <v>189</v>
      </c>
      <c r="N26" s="67">
        <f>K26+M26-M29</f>
        <v>14</v>
      </c>
      <c r="O26" s="65">
        <f>MAX(C26-IF('Lean ideas'!$H$8="yes",2,4),0)+IF(J28&lt;$F$3,($F$3-J28)/10,0)+IF(K26&lt;I12,(I12-K26)/10,0)</f>
        <v>2.5</v>
      </c>
      <c r="P26" s="65">
        <v>15</v>
      </c>
    </row>
    <row r="27" spans="1:16" x14ac:dyDescent="0.2">
      <c r="A27" s="62" t="s">
        <v>76</v>
      </c>
      <c r="B27" s="64">
        <f t="shared" si="0"/>
        <v>2480</v>
      </c>
      <c r="C27" s="65">
        <v>0</v>
      </c>
      <c r="D27" s="65">
        <f>IF('Lean ideas'!H22="yes",HLOOKUP($C$3,'Problems table'!$A$3:$N$28,20),0)</f>
        <v>0</v>
      </c>
      <c r="E27" s="64">
        <f t="shared" si="1"/>
        <v>8100</v>
      </c>
      <c r="F27" s="66">
        <f t="shared" si="2"/>
        <v>0.30617283950617286</v>
      </c>
      <c r="G27" s="67">
        <f t="shared" si="3"/>
        <v>1</v>
      </c>
      <c r="H27" s="67">
        <f>IF('Lean ideas'!J17="yes",MIN(B13+B14,ROUNDUP(F27+F28,0)),SUM(G27:G28))</f>
        <v>3</v>
      </c>
      <c r="I27" s="65">
        <f t="shared" si="4"/>
        <v>0</v>
      </c>
      <c r="J27" s="68">
        <f t="shared" si="5"/>
        <v>653</v>
      </c>
      <c r="K27" s="65">
        <v>20</v>
      </c>
      <c r="L27" s="62">
        <f>3*I13</f>
        <v>60</v>
      </c>
      <c r="M27" s="67">
        <f t="shared" ref="M27" si="7">MIN(J27,$F$3+L27-K27)</f>
        <v>240</v>
      </c>
      <c r="N27" s="67">
        <f>K27+M27-M28</f>
        <v>20</v>
      </c>
      <c r="O27" s="65">
        <f>MAX(C27-IF('Lean ideas'!$J$8="yes",2,4),0)+IF(J27&lt;$F$3,($F$3-J27)/10,0)</f>
        <v>0</v>
      </c>
      <c r="P27" s="65">
        <v>20</v>
      </c>
    </row>
    <row r="28" spans="1:16" x14ac:dyDescent="0.2">
      <c r="A28" s="62" t="s">
        <v>38</v>
      </c>
      <c r="B28" s="64">
        <f t="shared" si="0"/>
        <v>8680</v>
      </c>
      <c r="C28" s="65">
        <f>HLOOKUP($C$3,'Problems table'!$A$3:$N$28,22)+HLOOKUP($C$3,'Problems table'!$A$3:$N$28,23)</f>
        <v>3</v>
      </c>
      <c r="D28" s="65">
        <f>O27</f>
        <v>0</v>
      </c>
      <c r="E28" s="64">
        <f t="shared" si="1"/>
        <v>7117.875</v>
      </c>
      <c r="F28" s="66">
        <f t="shared" si="2"/>
        <v>1.2194650791142019</v>
      </c>
      <c r="G28" s="67">
        <f t="shared" si="3"/>
        <v>2</v>
      </c>
      <c r="H28" s="62"/>
      <c r="I28" s="65">
        <f t="shared" si="4"/>
        <v>0</v>
      </c>
      <c r="J28" s="68">
        <f t="shared" si="5"/>
        <v>328</v>
      </c>
      <c r="K28" s="65">
        <v>20</v>
      </c>
      <c r="L28" s="62">
        <f>IF('Lean ideas'!H7="yes",I14,3*I14)</f>
        <v>60</v>
      </c>
      <c r="M28" s="67">
        <f>MIN(J28,$F$3+L28-K28,M27+K27)</f>
        <v>240</v>
      </c>
      <c r="N28" s="67">
        <f>K28+M28-M29</f>
        <v>70</v>
      </c>
      <c r="O28" s="65">
        <f>MAX(C28-IF('Lean ideas'!$J$8="yes",2,4),0)+IF(J28&lt;$F$3,($F$3-J28)/10,0)+IF(K28&lt;I14,(I14-K28)/10,0)</f>
        <v>0</v>
      </c>
      <c r="P28" s="65">
        <v>20</v>
      </c>
    </row>
    <row r="29" spans="1:16" x14ac:dyDescent="0.2">
      <c r="A29" s="62" t="s">
        <v>79</v>
      </c>
      <c r="B29" s="64">
        <f t="shared" si="0"/>
        <v>13000</v>
      </c>
      <c r="C29" s="65">
        <f>HLOOKUP($C$3,'Problems table'!$A$3:$N$28,26)</f>
        <v>0</v>
      </c>
      <c r="D29" s="65">
        <f>IF(OR('Lean ideas'!J22="yes",'Lean ideas'!L22="yes"),HLOOKUP($C$3,'Problems table'!$A$3:$N$28,24),0)+(O26+O28)</f>
        <v>2.5</v>
      </c>
      <c r="E29" s="64">
        <f t="shared" si="1"/>
        <v>7087.5</v>
      </c>
      <c r="F29" s="66">
        <f t="shared" si="2"/>
        <v>1.8342151675485008</v>
      </c>
      <c r="G29" s="67">
        <f t="shared" si="3"/>
        <v>2</v>
      </c>
      <c r="H29" s="67">
        <f>G29</f>
        <v>2</v>
      </c>
      <c r="I29" s="65">
        <f t="shared" si="4"/>
        <v>0</v>
      </c>
      <c r="J29" s="68">
        <f t="shared" si="5"/>
        <v>218</v>
      </c>
      <c r="K29" s="65">
        <v>10</v>
      </c>
      <c r="L29" s="62">
        <v>0</v>
      </c>
      <c r="M29" s="67">
        <f>MIN(J29,$F$3+L29-K29,M26+K26,M28+K28)</f>
        <v>190</v>
      </c>
      <c r="N29" s="68">
        <f>K29+M29-N30</f>
        <v>200</v>
      </c>
      <c r="O29" s="62"/>
      <c r="P29" s="65">
        <v>10</v>
      </c>
    </row>
    <row r="30" spans="1:16" x14ac:dyDescent="0.2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5"/>
      <c r="L30" s="62"/>
      <c r="M30" s="62"/>
      <c r="N30" s="62"/>
      <c r="O30" s="62"/>
      <c r="P30" s="62"/>
    </row>
    <row r="31" spans="1:16" x14ac:dyDescent="0.2">
      <c r="A31" s="62"/>
      <c r="B31" s="62"/>
      <c r="C31" s="62"/>
      <c r="D31" s="62"/>
      <c r="E31" s="62"/>
      <c r="F31" s="62" t="s">
        <v>89</v>
      </c>
      <c r="G31" s="69">
        <f>SUM(G21:G29)</f>
        <v>12</v>
      </c>
      <c r="H31" s="69">
        <f>SUM(H21:H29)</f>
        <v>12</v>
      </c>
      <c r="I31" s="69">
        <f>SUM(I21:I29)</f>
        <v>4</v>
      </c>
      <c r="J31" s="62"/>
      <c r="K31" s="68"/>
      <c r="L31" s="62"/>
      <c r="M31" s="62"/>
      <c r="N31" s="62"/>
      <c r="O31" s="62"/>
      <c r="P31" s="62"/>
    </row>
  </sheetData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30"/>
  <sheetViews>
    <sheetView workbookViewId="0">
      <selection activeCell="B1" sqref="B1"/>
    </sheetView>
  </sheetViews>
  <sheetFormatPr defaultRowHeight="14.25" x14ac:dyDescent="0.2"/>
  <cols>
    <col min="1" max="1" width="15.125" customWidth="1"/>
    <col min="2" max="2" width="18.125" customWidth="1"/>
  </cols>
  <sheetData>
    <row r="1" spans="1:15" ht="15" x14ac:dyDescent="0.25">
      <c r="D1" s="1" t="s">
        <v>288</v>
      </c>
    </row>
    <row r="3" spans="1:15" x14ac:dyDescent="0.2">
      <c r="B3" t="s">
        <v>164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</row>
    <row r="4" spans="1:15" x14ac:dyDescent="0.2">
      <c r="A4" s="12" t="s">
        <v>55</v>
      </c>
      <c r="B4" s="12" t="s">
        <v>289</v>
      </c>
    </row>
    <row r="5" spans="1:15" x14ac:dyDescent="0.2">
      <c r="A5" t="s">
        <v>34</v>
      </c>
      <c r="B5" t="s">
        <v>290</v>
      </c>
      <c r="C5">
        <f>IF('Lean ideas'!$F$21="no",2,0)</f>
        <v>2</v>
      </c>
      <c r="D5">
        <f>IF(AND('Lean ideas'!$F$21="no", 'Lean ideas'!$F$22="yes"),0,0)</f>
        <v>0</v>
      </c>
      <c r="E5">
        <f>IF(AND('Lean ideas'!$F$21="no", 'Lean ideas'!$F$22="yes"),2,0)</f>
        <v>0</v>
      </c>
      <c r="F5">
        <f>IF(AND('Lean ideas'!$F$21="no", 'Lean ideas'!$F$22="yes"),0,0)</f>
        <v>0</v>
      </c>
      <c r="G5">
        <f>IF(AND('Lean ideas'!$F$21="no", 'Lean ideas'!$F$22="yes"),0,0)</f>
        <v>0</v>
      </c>
      <c r="H5">
        <f>IF('Lean ideas'!$F$22="yes",2,0)</f>
        <v>0</v>
      </c>
      <c r="I5">
        <f>IF(AND('Lean ideas'!$F$21="no", 'Lean ideas'!$F$22="yes"),0,0)</f>
        <v>0</v>
      </c>
      <c r="J5">
        <f>IF(AND('Lean ideas'!$F$21="no", 'Lean ideas'!$F$22="yes"),0,0)</f>
        <v>0</v>
      </c>
      <c r="K5">
        <f>IF(AND('Lean ideas'!$F$21="no", 'Lean ideas'!$F$22="yes"),0,0)</f>
        <v>0</v>
      </c>
      <c r="L5">
        <f>IF('Lean ideas'!$F$21="no",2,0)</f>
        <v>2</v>
      </c>
      <c r="M5">
        <f>IF(AND('Lean ideas'!$F$21="no", 'Lean ideas'!$F$22="yes"),0,0)</f>
        <v>0</v>
      </c>
      <c r="N5">
        <f>IF(AND('Lean ideas'!$F$21="no", 'Lean ideas'!$F$22="yes"),0,0)</f>
        <v>0</v>
      </c>
    </row>
    <row r="6" spans="1:15" x14ac:dyDescent="0.2">
      <c r="B6" t="s">
        <v>291</v>
      </c>
      <c r="C6">
        <f>IF('Lean ideas'!$F$19="no",3,0)</f>
        <v>3</v>
      </c>
      <c r="D6">
        <f>IF('Lean ideas'!$F$19="no",0,0)</f>
        <v>0</v>
      </c>
      <c r="E6">
        <f>IF('Lean ideas'!$F$19="no",0,0)</f>
        <v>0</v>
      </c>
      <c r="F6">
        <f>IF('Lean ideas'!$F$19="no",0,0)</f>
        <v>0</v>
      </c>
      <c r="G6">
        <f>IF('Lean ideas'!$F$19="no",2,0)</f>
        <v>2</v>
      </c>
      <c r="H6">
        <f>IF('Lean ideas'!$F$19="no",0,0)</f>
        <v>0</v>
      </c>
      <c r="I6">
        <f>IF('Lean ideas'!$F$19="no",2,0)</f>
        <v>2</v>
      </c>
      <c r="J6">
        <f>IF('Lean ideas'!$F$19="no",0,0)</f>
        <v>0</v>
      </c>
      <c r="K6">
        <f>IF('Lean ideas'!$F$19="no",0,0)</f>
        <v>0</v>
      </c>
      <c r="L6">
        <f>IF('Lean ideas'!$F$19="no",0,0)</f>
        <v>0</v>
      </c>
      <c r="M6">
        <f>IF('Lean ideas'!$F$19="no",3,1)</f>
        <v>3</v>
      </c>
      <c r="N6">
        <f>IF('Lean ideas'!$F$19="no",0,0)</f>
        <v>0</v>
      </c>
    </row>
    <row r="7" spans="1:15" x14ac:dyDescent="0.2">
      <c r="A7" t="s">
        <v>35</v>
      </c>
      <c r="B7" s="27" t="s">
        <v>303</v>
      </c>
      <c r="C7">
        <f>Capacity!$O$21</f>
        <v>0</v>
      </c>
      <c r="D7">
        <f>$C$7</f>
        <v>0</v>
      </c>
      <c r="E7">
        <f t="shared" ref="E7:N7" si="0">$C$7</f>
        <v>0</v>
      </c>
      <c r="F7">
        <f t="shared" si="0"/>
        <v>0</v>
      </c>
      <c r="G7">
        <f t="shared" si="0"/>
        <v>0</v>
      </c>
      <c r="H7">
        <f t="shared" si="0"/>
        <v>0</v>
      </c>
      <c r="I7">
        <f t="shared" si="0"/>
        <v>0</v>
      </c>
      <c r="J7">
        <f t="shared" si="0"/>
        <v>0</v>
      </c>
      <c r="K7">
        <f t="shared" si="0"/>
        <v>0</v>
      </c>
      <c r="L7">
        <f t="shared" si="0"/>
        <v>0</v>
      </c>
      <c r="M7">
        <f t="shared" si="0"/>
        <v>0</v>
      </c>
      <c r="N7">
        <f t="shared" si="0"/>
        <v>0</v>
      </c>
    </row>
    <row r="8" spans="1:15" x14ac:dyDescent="0.2">
      <c r="B8" t="s">
        <v>291</v>
      </c>
      <c r="C8">
        <f>IF('Lean ideas'!$H$19="no",0,0)</f>
        <v>0</v>
      </c>
      <c r="D8">
        <f>IF('Lean ideas'!$H$19="no",0,0)</f>
        <v>0</v>
      </c>
      <c r="E8">
        <f>IF('Lean ideas'!$H$19="no",2,0)</f>
        <v>2</v>
      </c>
      <c r="F8">
        <f>IF('Lean ideas'!$H$19="no",0,0)</f>
        <v>0</v>
      </c>
      <c r="G8">
        <f>IF('Lean ideas'!$H$19="no",0,0)</f>
        <v>0</v>
      </c>
      <c r="H8">
        <f>IF('Lean ideas'!$H$19="no",2,1)</f>
        <v>2</v>
      </c>
      <c r="I8">
        <f>IF('Lean ideas'!$H$19="no",0,0)</f>
        <v>0</v>
      </c>
      <c r="J8">
        <f>IF('Lean ideas'!$H$19="no",0,0)</f>
        <v>0</v>
      </c>
      <c r="K8">
        <f>IF('Lean ideas'!$H$19="no",3,0)</f>
        <v>3</v>
      </c>
      <c r="L8">
        <f>IF('Lean ideas'!$H$19="no",0,0)</f>
        <v>0</v>
      </c>
      <c r="M8">
        <f>IF('Lean ideas'!$H$19="no",0,0)</f>
        <v>0</v>
      </c>
      <c r="N8">
        <f>IF('Lean ideas'!$H$19="no",3,0)</f>
        <v>3</v>
      </c>
    </row>
    <row r="9" spans="1:15" x14ac:dyDescent="0.2">
      <c r="B9" t="s">
        <v>292</v>
      </c>
      <c r="C9">
        <f>IF('Lean ideas'!$F$8="yes",0.25,0.5)</f>
        <v>0.5</v>
      </c>
      <c r="D9">
        <f>IF('Lean ideas'!$F$14="no", IF('Lean ideas'!$F$8="yes",0.25,0.5),0)</f>
        <v>0.5</v>
      </c>
      <c r="E9">
        <f>IF('Lean ideas'!$F$14="no", IF('Lean ideas'!$F$8="yes",0,0),0)</f>
        <v>0</v>
      </c>
      <c r="F9">
        <f>IF('Lean ideas'!$F$14="no", IF('Lean ideas'!$F$8="yes",0.25,0.5),0)</f>
        <v>0.5</v>
      </c>
      <c r="G9">
        <f>IF('Lean ideas'!$F$14="no", IF('Lean ideas'!$F$8="yes",0,0),0)</f>
        <v>0</v>
      </c>
      <c r="H9">
        <f>IF('Lean ideas'!$F$14="no", IF('Lean ideas'!$F$8="yes",0.25,0.5),0)</f>
        <v>0.5</v>
      </c>
      <c r="I9">
        <f>IF('Lean ideas'!$F$14="no", IF('Lean ideas'!$F$8="yes",0.5,1),0)</f>
        <v>1</v>
      </c>
      <c r="J9">
        <f>IF('Lean ideas'!$F$14="no", IF('Lean ideas'!$F$8="yes",0.25,0.5),0)</f>
        <v>0.5</v>
      </c>
      <c r="K9">
        <f>IF('Lean ideas'!$F$14="no", IF('Lean ideas'!$F$8="yes",0.5,1),IF('Lean ideas'!$F$8="yes",0.25,0.5))</f>
        <v>1</v>
      </c>
      <c r="L9">
        <f>IF('Lean ideas'!$F$14="no", IF('Lean ideas'!$F$8="yes",0,0),0)</f>
        <v>0</v>
      </c>
      <c r="M9">
        <f>IF('Lean ideas'!$F$14="no", IF('Lean ideas'!$F$8="yes",0.25,0.5),0)</f>
        <v>0.5</v>
      </c>
      <c r="N9">
        <f>IF('Lean ideas'!$F$14="no", IF('Lean ideas'!$F$8="yes",0,0),0)</f>
        <v>0</v>
      </c>
    </row>
    <row r="10" spans="1:15" x14ac:dyDescent="0.2">
      <c r="A10" t="s">
        <v>51</v>
      </c>
      <c r="B10" t="s">
        <v>303</v>
      </c>
      <c r="C10">
        <f>Capacity!$O$22</f>
        <v>0</v>
      </c>
      <c r="D10">
        <f>$C$10</f>
        <v>0</v>
      </c>
      <c r="E10">
        <f t="shared" ref="E10:N10" si="1">$C$10</f>
        <v>0</v>
      </c>
      <c r="F10">
        <f t="shared" si="1"/>
        <v>0</v>
      </c>
      <c r="G10">
        <f t="shared" si="1"/>
        <v>0</v>
      </c>
      <c r="H10">
        <f t="shared" si="1"/>
        <v>0</v>
      </c>
      <c r="I10">
        <f t="shared" si="1"/>
        <v>0</v>
      </c>
      <c r="J10">
        <f t="shared" si="1"/>
        <v>0</v>
      </c>
      <c r="K10">
        <f t="shared" si="1"/>
        <v>0</v>
      </c>
      <c r="L10">
        <f t="shared" si="1"/>
        <v>0</v>
      </c>
      <c r="M10">
        <f t="shared" si="1"/>
        <v>0</v>
      </c>
      <c r="N10">
        <f t="shared" si="1"/>
        <v>0</v>
      </c>
    </row>
    <row r="11" spans="1:15" x14ac:dyDescent="0.2">
      <c r="B11" t="s">
        <v>291</v>
      </c>
      <c r="C11">
        <f>IF('Lean ideas'!$J$19="no",0,0)</f>
        <v>0</v>
      </c>
      <c r="D11">
        <f>IF('Lean ideas'!$J$19="no",2,0)</f>
        <v>2</v>
      </c>
      <c r="E11">
        <f>IF('Lean ideas'!$J$19="no",0,0)</f>
        <v>0</v>
      </c>
      <c r="F11">
        <f>IF('Lean ideas'!$J$19="no",0,0)</f>
        <v>0</v>
      </c>
      <c r="G11">
        <f>IF('Lean ideas'!$J$19="no",0,0)</f>
        <v>0</v>
      </c>
      <c r="H11">
        <f>IF('Lean ideas'!$J$19="no",0,0)</f>
        <v>0</v>
      </c>
      <c r="I11">
        <f>IF('Lean ideas'!$J$19="no",0,0)</f>
        <v>0</v>
      </c>
      <c r="J11">
        <f>IF('Lean ideas'!$J$19="no",1,0)</f>
        <v>1</v>
      </c>
      <c r="K11">
        <f>IF('Lean ideas'!$J$19="no",0,0)</f>
        <v>0</v>
      </c>
      <c r="L11">
        <f>IF('Lean ideas'!$J$19="no",0,0)</f>
        <v>0</v>
      </c>
      <c r="M11">
        <f>IF('Lean ideas'!$J$19="no",1,0)</f>
        <v>1</v>
      </c>
      <c r="N11">
        <f>IF('Lean ideas'!$J$19="no",0,0)</f>
        <v>0</v>
      </c>
    </row>
    <row r="12" spans="1:15" x14ac:dyDescent="0.2">
      <c r="B12" t="s">
        <v>292</v>
      </c>
      <c r="C12">
        <f>IF('Lean ideas'!$H$14="no", IF('Lean ideas'!$F$8="yes",0.25,0.5),0)</f>
        <v>0.5</v>
      </c>
      <c r="D12">
        <f>IF('Lean ideas'!$F$8="yes",0.25,0.5)</f>
        <v>0.5</v>
      </c>
      <c r="E12">
        <f>IF('Lean ideas'!$H$14="no", IF('Lean ideas'!$F$8="yes",0.25,0.5),0)</f>
        <v>0.5</v>
      </c>
      <c r="F12">
        <f>IF('Lean ideas'!$H$14="no", IF('Lean ideas'!$F$8="yes",0.25,0.5),0)</f>
        <v>0.5</v>
      </c>
      <c r="G12">
        <f>IF('Lean ideas'!$H$14="no", IF('Lean ideas'!$F$8="yes",0,0),0)</f>
        <v>0</v>
      </c>
      <c r="H12">
        <f>IF('Lean ideas'!$H$14="no", IF('Lean ideas'!$F$8="yes",0.75,1.5),0)</f>
        <v>1.5</v>
      </c>
      <c r="I12">
        <f>IF('Lean ideas'!$H$14="no", IF('Lean ideas'!$F$8="yes",0,0),0)</f>
        <v>0</v>
      </c>
      <c r="J12">
        <f>IF('Lean ideas'!$H$14="no", IF('Lean ideas'!$F$8="yes",0.25,0.5),0)</f>
        <v>0.5</v>
      </c>
      <c r="K12">
        <f>IF('Lean ideas'!$H$14="no", IF('Lean ideas'!$F$8="yes",0.5,1),IF('Lean ideas'!$F$8="yes",0.25,0.5))</f>
        <v>1</v>
      </c>
      <c r="L12">
        <f>IF('Lean ideas'!$H$14="no", IF('Lean ideas'!$F$8="yes",0.25,0.5),0)</f>
        <v>0.5</v>
      </c>
      <c r="M12">
        <f>IF('Lean ideas'!$H$14="no", IF('Lean ideas'!$F$8="yes",0.25,0.5),0)</f>
        <v>0.5</v>
      </c>
      <c r="N12">
        <f>IF('Lean ideas'!$H$14="no", IF('Lean ideas'!$F$8="yes",0,0),0)</f>
        <v>0</v>
      </c>
    </row>
    <row r="13" spans="1:15" x14ac:dyDescent="0.2">
      <c r="B13" t="s">
        <v>295</v>
      </c>
      <c r="C13">
        <f>IF(OR('Lean ideas'!$F$6="yes",'Lean ideas'!$F$14="no"),'Problems table'!C9,0)</f>
        <v>0.5</v>
      </c>
      <c r="D13">
        <f>IF(OR('Lean ideas'!$F$6="yes",'Lean ideas'!$F$14="no"),'Problems table'!D9,0)</f>
        <v>0.5</v>
      </c>
      <c r="E13">
        <f>IF(OR('Lean ideas'!$F$6="yes",'Lean ideas'!$F$14="no"),'Problems table'!E9,0)</f>
        <v>0</v>
      </c>
      <c r="F13">
        <f>IF(OR('Lean ideas'!$F$6="yes",'Lean ideas'!$F$14="no"),'Problems table'!F9,0)</f>
        <v>0.5</v>
      </c>
      <c r="G13">
        <f>IF(OR('Lean ideas'!$F$6="yes",'Lean ideas'!$F$14="no"),'Problems table'!G9,0)</f>
        <v>0</v>
      </c>
      <c r="H13">
        <f>IF(OR('Lean ideas'!$F$6="yes",'Lean ideas'!$F$14="no"),'Problems table'!H9,0)</f>
        <v>0.5</v>
      </c>
      <c r="I13">
        <f>IF(OR('Lean ideas'!$F$6="yes",'Lean ideas'!$F$14="no"),'Problems table'!I9,0)</f>
        <v>1</v>
      </c>
      <c r="J13">
        <f>IF(OR('Lean ideas'!$F$6="yes",'Lean ideas'!$F$14="no"),'Problems table'!J9,0)</f>
        <v>0.5</v>
      </c>
      <c r="K13">
        <f>IF(OR('Lean ideas'!$F$6="yes",'Lean ideas'!$F$14="no"),'Problems table'!K9,0)</f>
        <v>1</v>
      </c>
      <c r="L13">
        <f>IF(OR('Lean ideas'!$F$6="yes",'Lean ideas'!$F$14="no"),'Problems table'!L9,0)</f>
        <v>0</v>
      </c>
      <c r="M13">
        <f>IF(OR('Lean ideas'!$F$6="yes",'Lean ideas'!$F$14="no"),'Problems table'!M9,0)</f>
        <v>0.5</v>
      </c>
      <c r="N13">
        <f>IF(OR('Lean ideas'!$F$6="yes",'Lean ideas'!$F$14="no"),'Problems table'!N9,0)</f>
        <v>0</v>
      </c>
    </row>
    <row r="14" spans="1:15" x14ac:dyDescent="0.2">
      <c r="A14" t="s">
        <v>42</v>
      </c>
      <c r="B14" t="s">
        <v>303</v>
      </c>
      <c r="C14">
        <f>Capacity!$O$23</f>
        <v>0.5</v>
      </c>
      <c r="D14">
        <f>$C$14</f>
        <v>0.5</v>
      </c>
      <c r="E14">
        <f t="shared" ref="E14:N14" si="2">$C$14</f>
        <v>0.5</v>
      </c>
      <c r="F14">
        <f t="shared" si="2"/>
        <v>0.5</v>
      </c>
      <c r="G14">
        <f t="shared" si="2"/>
        <v>0.5</v>
      </c>
      <c r="H14">
        <f t="shared" si="2"/>
        <v>0.5</v>
      </c>
      <c r="I14">
        <f t="shared" si="2"/>
        <v>0.5</v>
      </c>
      <c r="J14">
        <f t="shared" si="2"/>
        <v>0.5</v>
      </c>
      <c r="K14">
        <f t="shared" si="2"/>
        <v>0.5</v>
      </c>
      <c r="L14">
        <f t="shared" si="2"/>
        <v>0.5</v>
      </c>
      <c r="M14">
        <f t="shared" si="2"/>
        <v>0.5</v>
      </c>
      <c r="N14">
        <f t="shared" si="2"/>
        <v>0.5</v>
      </c>
    </row>
    <row r="15" spans="1:15" x14ac:dyDescent="0.2">
      <c r="B15" t="s">
        <v>291</v>
      </c>
      <c r="C15">
        <f>IF('Lean ideas'!$F$20="no",2,0)</f>
        <v>2</v>
      </c>
      <c r="D15">
        <f>IF('Lean ideas'!$F$20="no",3,1)</f>
        <v>3</v>
      </c>
      <c r="E15">
        <f>IF('Lean ideas'!$F$20="no",2,0)</f>
        <v>2</v>
      </c>
      <c r="F15">
        <f>IF('Lean ideas'!$F$20="no",3,1)</f>
        <v>3</v>
      </c>
      <c r="G15">
        <f>IF('Lean ideas'!$F$20="no",0,0)</f>
        <v>0</v>
      </c>
      <c r="H15">
        <f>IF('Lean ideas'!$F$20="no",4,0)</f>
        <v>4</v>
      </c>
      <c r="I15">
        <f>IF('Lean ideas'!$F$20="no",0,0)</f>
        <v>0</v>
      </c>
      <c r="J15">
        <f>IF('Lean ideas'!$F$20="no",3,1.5)</f>
        <v>3</v>
      </c>
      <c r="K15">
        <f>IF('Lean ideas'!$F$20="no",0,0)</f>
        <v>0</v>
      </c>
      <c r="L15">
        <f>IF('Lean ideas'!$F$20="no",3,0)</f>
        <v>3</v>
      </c>
      <c r="M15">
        <f>IF('Lean ideas'!$F$20="no",2,1)</f>
        <v>2</v>
      </c>
      <c r="N15">
        <f>IF('Lean ideas'!$F$20="no",0,0)</f>
        <v>0</v>
      </c>
    </row>
    <row r="16" spans="1:15" x14ac:dyDescent="0.2">
      <c r="B16" t="s">
        <v>292</v>
      </c>
      <c r="C16">
        <f>IF('Lean ideas'!$J$14="no", IF('Lean ideas'!$H$8="yes",1,2),0)</f>
        <v>2</v>
      </c>
      <c r="D16">
        <f>IF('Lean ideas'!$J$14="no", IF('Lean ideas'!$H$8="yes",1.5,3),0)</f>
        <v>3</v>
      </c>
      <c r="E16">
        <f>IF('Lean ideas'!$H$8="yes",1,2)</f>
        <v>2</v>
      </c>
      <c r="F16">
        <f>IF('Lean ideas'!$J$14="no", IF('Lean ideas'!$H$8="yes",1,2), IF('Lean ideas'!$H$8="yes",0.5,1))</f>
        <v>2</v>
      </c>
      <c r="G16">
        <f>IF('Lean ideas'!$J$14="no", IF('Lean ideas'!$H$8="yes",1.5,3),0)</f>
        <v>3</v>
      </c>
      <c r="H16">
        <f>IF('Lean ideas'!$J$14="no", IF('Lean ideas'!$H$8="yes",1,2),0)</f>
        <v>2</v>
      </c>
      <c r="I16">
        <f>IF('Lean ideas'!$H$8="yes",0.5,1)</f>
        <v>1</v>
      </c>
      <c r="J16">
        <f>IF('Lean ideas'!$J$14="no", IF('Lean ideas'!$H$8="yes",1.5,3), IF('Lean ideas'!$H$8="yes",0.5,1))</f>
        <v>3</v>
      </c>
      <c r="K16">
        <f>IF('Lean ideas'!$J$14="no", IF('Lean ideas'!$H$8="yes",0,0),0)</f>
        <v>0</v>
      </c>
      <c r="L16">
        <f>IF('Lean ideas'!$J$14="no", IF('Lean ideas'!$H$8="yes",0,0),0)</f>
        <v>0</v>
      </c>
      <c r="M16">
        <f>IF('Lean ideas'!$J$14="no", IF('Lean ideas'!$H$8="yes",2,4),0)</f>
        <v>4</v>
      </c>
      <c r="N16">
        <f>IF('Lean ideas'!$J$14="no", IF('Lean ideas'!$H$8="yes",1,2),0)</f>
        <v>2</v>
      </c>
    </row>
    <row r="17" spans="1:14" x14ac:dyDescent="0.2">
      <c r="A17" t="s">
        <v>196</v>
      </c>
      <c r="B17" t="s">
        <v>303</v>
      </c>
      <c r="C17">
        <f>Capacity!$O$24</f>
        <v>4.5999999999999996</v>
      </c>
      <c r="D17">
        <f>$C$17</f>
        <v>4.5999999999999996</v>
      </c>
      <c r="E17">
        <f t="shared" ref="E17:N17" si="3">$C$17</f>
        <v>4.5999999999999996</v>
      </c>
      <c r="F17">
        <f t="shared" si="3"/>
        <v>4.5999999999999996</v>
      </c>
      <c r="G17">
        <f t="shared" si="3"/>
        <v>4.5999999999999996</v>
      </c>
      <c r="H17">
        <f t="shared" si="3"/>
        <v>4.5999999999999996</v>
      </c>
      <c r="I17">
        <f t="shared" si="3"/>
        <v>4.5999999999999996</v>
      </c>
      <c r="J17">
        <f t="shared" si="3"/>
        <v>4.5999999999999996</v>
      </c>
      <c r="K17">
        <f t="shared" si="3"/>
        <v>4.5999999999999996</v>
      </c>
      <c r="L17">
        <f t="shared" si="3"/>
        <v>4.5999999999999996</v>
      </c>
      <c r="M17">
        <f t="shared" si="3"/>
        <v>4.5999999999999996</v>
      </c>
      <c r="N17">
        <f t="shared" si="3"/>
        <v>4.5999999999999996</v>
      </c>
    </row>
    <row r="18" spans="1:14" x14ac:dyDescent="0.2">
      <c r="B18" t="s">
        <v>295</v>
      </c>
      <c r="C18">
        <f>IF(OR('Lean ideas'!$H$6="yes",'Lean ideas'!$J$14="no"),'Problems table'!C16,0)</f>
        <v>2</v>
      </c>
      <c r="D18">
        <f>IF(OR('Lean ideas'!$H$6="yes",'Lean ideas'!$J$14="no"),'Problems table'!D16,0)</f>
        <v>3</v>
      </c>
      <c r="E18">
        <f>IF(OR('Lean ideas'!$H$6="yes",'Lean ideas'!$J$14="no"),'Problems table'!E16,0)</f>
        <v>2</v>
      </c>
      <c r="F18">
        <f>IF(OR('Lean ideas'!$H$6="yes",'Lean ideas'!$J$14="no"),'Problems table'!F16,0)</f>
        <v>2</v>
      </c>
      <c r="G18">
        <f>IF(OR('Lean ideas'!$H$6="yes",'Lean ideas'!$J$14="no"),'Problems table'!G16,0)</f>
        <v>3</v>
      </c>
      <c r="H18">
        <f>IF(OR('Lean ideas'!$H$6="yes",'Lean ideas'!$J$14="no"),'Problems table'!H16,0)</f>
        <v>2</v>
      </c>
      <c r="I18">
        <f>IF(OR('Lean ideas'!$H$6="yes",'Lean ideas'!$J$14="no"),'Problems table'!I16,0)</f>
        <v>1</v>
      </c>
      <c r="J18">
        <f>IF(OR('Lean ideas'!$H$6="yes",'Lean ideas'!$J$14="no"),'Problems table'!J16,0)</f>
        <v>3</v>
      </c>
      <c r="K18">
        <f>IF(OR('Lean ideas'!$H$6="yes",'Lean ideas'!$J$14="no"),'Problems table'!K16,0)</f>
        <v>0</v>
      </c>
      <c r="L18">
        <f>IF(OR('Lean ideas'!$H$6="yes",'Lean ideas'!$J$14="no"),'Problems table'!L16,0)</f>
        <v>0</v>
      </c>
      <c r="M18">
        <f>IF(OR('Lean ideas'!$H$6="yes",'Lean ideas'!$J$14="no"),'Problems table'!M16,0)</f>
        <v>4</v>
      </c>
      <c r="N18">
        <f>IF(OR('Lean ideas'!$H$6="yes",'Lean ideas'!$J$14="no"),'Problems table'!N16,0)</f>
        <v>2</v>
      </c>
    </row>
    <row r="19" spans="1:14" x14ac:dyDescent="0.2">
      <c r="A19" t="s">
        <v>36</v>
      </c>
      <c r="B19" t="s">
        <v>303</v>
      </c>
      <c r="C19">
        <f>Capacity!$O$25</f>
        <v>0.4</v>
      </c>
      <c r="D19">
        <f>$C$19</f>
        <v>0.4</v>
      </c>
      <c r="E19">
        <f t="shared" ref="E19:N19" si="4">$C$19</f>
        <v>0.4</v>
      </c>
      <c r="F19">
        <f t="shared" si="4"/>
        <v>0.4</v>
      </c>
      <c r="G19">
        <f t="shared" si="4"/>
        <v>0.4</v>
      </c>
      <c r="H19">
        <f t="shared" si="4"/>
        <v>0.4</v>
      </c>
      <c r="I19">
        <f t="shared" si="4"/>
        <v>0.4</v>
      </c>
      <c r="J19">
        <f t="shared" si="4"/>
        <v>0.4</v>
      </c>
      <c r="K19">
        <f t="shared" si="4"/>
        <v>0.4</v>
      </c>
      <c r="L19">
        <f t="shared" si="4"/>
        <v>0.4</v>
      </c>
      <c r="M19">
        <f t="shared" si="4"/>
        <v>0.4</v>
      </c>
      <c r="N19">
        <f t="shared" si="4"/>
        <v>0.4</v>
      </c>
    </row>
    <row r="20" spans="1:14" x14ac:dyDescent="0.2">
      <c r="B20" t="s">
        <v>291</v>
      </c>
      <c r="C20">
        <f>IF('Lean ideas'!$H$20="no",0,0)</f>
        <v>0</v>
      </c>
      <c r="D20">
        <f>IF('Lean ideas'!$H$20="no",0,0)</f>
        <v>0</v>
      </c>
      <c r="E20">
        <f>IF('Lean ideas'!$H$20="no",0,0)</f>
        <v>0</v>
      </c>
      <c r="F20">
        <f>IF('Lean ideas'!$H$20="no",1,1)</f>
        <v>1</v>
      </c>
      <c r="G20">
        <f>IF('Lean ideas'!$H$20="no",0,0)</f>
        <v>0</v>
      </c>
      <c r="H20">
        <f>IF('Lean ideas'!$H$20="no",0,0)</f>
        <v>0</v>
      </c>
      <c r="I20">
        <f>IF('Lean ideas'!$H$20="no",0,0)</f>
        <v>0</v>
      </c>
      <c r="J20">
        <f>IF('Lean ideas'!$H$20="no",0,0)</f>
        <v>0</v>
      </c>
      <c r="K20">
        <f>IF('Lean ideas'!$H$20="no",2,0)</f>
        <v>2</v>
      </c>
      <c r="L20">
        <f>IF('Lean ideas'!$H$20="no",0,0)</f>
        <v>0</v>
      </c>
      <c r="M20">
        <f>IF('Lean ideas'!$H$20="no",0,0)</f>
        <v>0</v>
      </c>
      <c r="N20">
        <f>IF('Lean ideas'!$H$20="no",1,0)</f>
        <v>1</v>
      </c>
    </row>
    <row r="21" spans="1:14" x14ac:dyDescent="0.2">
      <c r="B21" t="s">
        <v>295</v>
      </c>
      <c r="C21">
        <f>C18</f>
        <v>2</v>
      </c>
      <c r="D21">
        <f t="shared" ref="D21:N21" si="5">D18</f>
        <v>3</v>
      </c>
      <c r="E21">
        <f t="shared" si="5"/>
        <v>2</v>
      </c>
      <c r="F21">
        <f t="shared" si="5"/>
        <v>2</v>
      </c>
      <c r="G21">
        <f t="shared" si="5"/>
        <v>3</v>
      </c>
      <c r="H21">
        <f t="shared" si="5"/>
        <v>2</v>
      </c>
      <c r="I21">
        <f t="shared" si="5"/>
        <v>1</v>
      </c>
      <c r="J21">
        <f t="shared" si="5"/>
        <v>3</v>
      </c>
      <c r="K21">
        <f t="shared" si="5"/>
        <v>0</v>
      </c>
      <c r="L21">
        <f t="shared" si="5"/>
        <v>0</v>
      </c>
      <c r="M21">
        <f t="shared" si="5"/>
        <v>4</v>
      </c>
      <c r="N21">
        <f t="shared" si="5"/>
        <v>2</v>
      </c>
    </row>
    <row r="22" spans="1:14" x14ac:dyDescent="0.2">
      <c r="A22" t="s">
        <v>37</v>
      </c>
      <c r="B22" t="s">
        <v>290</v>
      </c>
      <c r="C22">
        <f>IF(AND('Lean ideas'!$H$21="no", 'Lean ideas'!$H$22="yes"),0,0)</f>
        <v>0</v>
      </c>
      <c r="D22">
        <f>IF(AND('Lean ideas'!$H$21="no", 'Lean ideas'!$H$22="yes"),0,0)</f>
        <v>0</v>
      </c>
      <c r="E22">
        <f>IF(AND('Lean ideas'!$H$21="no", 'Lean ideas'!$H$22="yes"),0,0)</f>
        <v>0</v>
      </c>
      <c r="F22">
        <f>IF(AND('Lean ideas'!$H$21="no", 'Lean ideas'!$H$22="yes"),0,0)</f>
        <v>0</v>
      </c>
      <c r="G22">
        <f>IF(AND('Lean ideas'!$H$21="no", 'Lean ideas'!$H$22="yes"),2,0)</f>
        <v>0</v>
      </c>
      <c r="H22">
        <f>IF(AND('Lean ideas'!$H$21="no", 'Lean ideas'!$H$22="yes"),0,0)</f>
        <v>0</v>
      </c>
      <c r="I22">
        <f>IF(AND('Lean ideas'!$H$21="no", 'Lean ideas'!$H$22="yes"),0,0)</f>
        <v>0</v>
      </c>
      <c r="J22">
        <f>IF(AND('Lean ideas'!$H$21="no", 'Lean ideas'!$H$22="yes"),0,0)</f>
        <v>0</v>
      </c>
      <c r="K22">
        <f>IF(AND('Lean ideas'!$H$21="no", 'Lean ideas'!$H$22="yes"),0,0)</f>
        <v>0</v>
      </c>
      <c r="L22">
        <f>IF(AND('Lean ideas'!$H$21="no", 'Lean ideas'!$H$22="yes"),0,0)</f>
        <v>0</v>
      </c>
      <c r="M22">
        <f>IF(AND('Lean ideas'!$H$21="no", 'Lean ideas'!$H$22="yes"),0,0)</f>
        <v>0</v>
      </c>
      <c r="N22">
        <f>IF(AND('Lean ideas'!$H$21="no", 'Lean ideas'!$H$22="yes"),0,0)</f>
        <v>0</v>
      </c>
    </row>
    <row r="23" spans="1:14" x14ac:dyDescent="0.2">
      <c r="A23" t="s">
        <v>38</v>
      </c>
      <c r="B23" t="s">
        <v>303</v>
      </c>
      <c r="C23">
        <f>Capacity!$O$27</f>
        <v>0</v>
      </c>
      <c r="D23">
        <f>$C$23</f>
        <v>0</v>
      </c>
      <c r="E23">
        <f t="shared" ref="E23:N23" si="6">$C$23</f>
        <v>0</v>
      </c>
      <c r="F23">
        <f t="shared" si="6"/>
        <v>0</v>
      </c>
      <c r="G23">
        <f t="shared" si="6"/>
        <v>0</v>
      </c>
      <c r="H23">
        <f t="shared" si="6"/>
        <v>0</v>
      </c>
      <c r="I23">
        <f t="shared" si="6"/>
        <v>0</v>
      </c>
      <c r="J23">
        <f t="shared" si="6"/>
        <v>0</v>
      </c>
      <c r="K23">
        <f t="shared" si="6"/>
        <v>0</v>
      </c>
      <c r="L23">
        <f t="shared" si="6"/>
        <v>0</v>
      </c>
      <c r="M23">
        <f t="shared" si="6"/>
        <v>0</v>
      </c>
      <c r="N23">
        <f t="shared" si="6"/>
        <v>0</v>
      </c>
    </row>
    <row r="24" spans="1:14" x14ac:dyDescent="0.2">
      <c r="B24" t="s">
        <v>291</v>
      </c>
      <c r="C24">
        <f>IF('Lean ideas'!$J$20="no",2,1)</f>
        <v>2</v>
      </c>
      <c r="D24">
        <f>IF('Lean ideas'!$J$20="no",0,0)</f>
        <v>0</v>
      </c>
      <c r="E24">
        <f>IF('Lean ideas'!$J$20="no",2,0)</f>
        <v>2</v>
      </c>
      <c r="F24">
        <f>IF('Lean ideas'!$J$20="no",0,0)</f>
        <v>0</v>
      </c>
      <c r="G24">
        <f>IF('Lean ideas'!$J$20="no",2,1)</f>
        <v>2</v>
      </c>
      <c r="H24">
        <f>IF('Lean ideas'!$J$20="no",0,0)</f>
        <v>0</v>
      </c>
      <c r="I24">
        <f>IF('Lean ideas'!$J$20="no",0,0)</f>
        <v>0</v>
      </c>
      <c r="J24">
        <f>IF('Lean ideas'!$J$20="no",2,0)</f>
        <v>2</v>
      </c>
      <c r="K24">
        <f>IF('Lean ideas'!$J$20="no",1,0)</f>
        <v>1</v>
      </c>
      <c r="L24">
        <f>IF('Lean ideas'!$J$20="no",0,0)</f>
        <v>0</v>
      </c>
      <c r="M24">
        <f>IF('Lean ideas'!$J$20="no",3,0)</f>
        <v>3</v>
      </c>
      <c r="N24">
        <f>IF('Lean ideas'!$J$20="no",0,0)</f>
        <v>0</v>
      </c>
    </row>
    <row r="25" spans="1:14" x14ac:dyDescent="0.2">
      <c r="B25" t="s">
        <v>292</v>
      </c>
      <c r="C25">
        <f>IF('Lean ideas'!$F$15="no", IF('Lean ideas'!$J$8="yes",0.5,1),0)</f>
        <v>1</v>
      </c>
      <c r="D25">
        <f>IF('Lean ideas'!$F$15="no", IF('Lean ideas'!$J$8="yes",0,0),0)</f>
        <v>0</v>
      </c>
      <c r="E25">
        <f>IF('Lean ideas'!$F$15="no", IF('Lean ideas'!$J$8="yes",0,0),0)</f>
        <v>0</v>
      </c>
      <c r="F25">
        <f>IF('Lean ideas'!$F$15="no", IF('Lean ideas'!$J$8="yes",0.5,1),0)</f>
        <v>1</v>
      </c>
      <c r="G25">
        <f>IF('Lean ideas'!$F$15="no", IF('Lean ideas'!$J$8="yes",0,0),0)</f>
        <v>0</v>
      </c>
      <c r="H25">
        <f>IF('Lean ideas'!$F$15="no", IF('Lean ideas'!$J$8="yes",0.5,1),0)</f>
        <v>1</v>
      </c>
      <c r="I25">
        <f>IF('Lean ideas'!$F$15="no", IF('Lean ideas'!$J$8="yes",0,0),0)</f>
        <v>0</v>
      </c>
      <c r="J25">
        <f>IF('Lean ideas'!$J$8="yes",0.5,1)</f>
        <v>1</v>
      </c>
      <c r="K25">
        <f>IF('Lean ideas'!$F$15="no", IF('Lean ideas'!$J$8="yes",0,0),0)</f>
        <v>0</v>
      </c>
      <c r="L25">
        <f>IF('Lean ideas'!$F$15="no", IF('Lean ideas'!$J$8="yes",0,0),0)</f>
        <v>0</v>
      </c>
      <c r="M25">
        <f>IF('Lean ideas'!$F$15="no", IF('Lean ideas'!$J$8="yes",0.5,1),0)</f>
        <v>1</v>
      </c>
      <c r="N25">
        <f>IF('Lean ideas'!$F$15="no", IF('Lean ideas'!$J$8="yes",0,0),0)</f>
        <v>0</v>
      </c>
    </row>
    <row r="26" spans="1:14" x14ac:dyDescent="0.2">
      <c r="A26" t="s">
        <v>293</v>
      </c>
      <c r="B26" t="s">
        <v>290</v>
      </c>
      <c r="C26">
        <f>IF(AND('Lean ideas'!$L$21="no", 'Lean ideas'!$L$22="yes"),0,0)</f>
        <v>0</v>
      </c>
      <c r="D26">
        <f>IF(AND('Lean ideas'!$L$21="no", 'Lean ideas'!$L$22="yes"),0,0)</f>
        <v>0</v>
      </c>
      <c r="E26">
        <f>IF(AND('Lean ideas'!$L$21="no", 'Lean ideas'!$L$22="yes"),0,0)</f>
        <v>0</v>
      </c>
      <c r="F26">
        <f>IF(AND('Lean ideas'!$L$21="no", 'Lean ideas'!$L$22="yes"),2,0)</f>
        <v>0</v>
      </c>
      <c r="G26">
        <f>IF(AND('Lean ideas'!$L$21="no", 'Lean ideas'!$L$22="yes"),0,0)</f>
        <v>0</v>
      </c>
      <c r="H26">
        <f>IF(AND('Lean ideas'!$L$21="no", 'Lean ideas'!$L$22="yes"),0,0)</f>
        <v>0</v>
      </c>
      <c r="I26">
        <f>IF('Lean ideas'!$J$21="no",2,0)</f>
        <v>2</v>
      </c>
      <c r="J26">
        <f>IF(AND('Lean ideas'!$L$21="no", 'Lean ideas'!$L$22="yes"),0,0)</f>
        <v>0</v>
      </c>
      <c r="K26">
        <f>IF(AND('Lean ideas'!$L$21="no", 'Lean ideas'!$L$22="yes"),0,0)</f>
        <v>0</v>
      </c>
      <c r="L26">
        <f>IF(AND('Lean ideas'!$L$21="no", 'Lean ideas'!$L$22="yes"),0,0)</f>
        <v>0</v>
      </c>
      <c r="M26">
        <f>IF(AND('Lean ideas'!$L$21="no", 'Lean ideas'!$L$22="yes"),2,0)</f>
        <v>0</v>
      </c>
      <c r="N26">
        <f>IF('Lean ideas'!$J$22="yes",2,0)</f>
        <v>0</v>
      </c>
    </row>
    <row r="27" spans="1:14" x14ac:dyDescent="0.2">
      <c r="B27" t="s">
        <v>303</v>
      </c>
      <c r="C27">
        <f>Capacity!$O$26+Capacity!$O$28</f>
        <v>2.5</v>
      </c>
      <c r="D27">
        <f>$C$27</f>
        <v>2.5</v>
      </c>
      <c r="E27">
        <f t="shared" ref="E27:N27" si="7">$C$27</f>
        <v>2.5</v>
      </c>
      <c r="F27">
        <f t="shared" si="7"/>
        <v>2.5</v>
      </c>
      <c r="G27">
        <f t="shared" si="7"/>
        <v>2.5</v>
      </c>
      <c r="H27">
        <f t="shared" si="7"/>
        <v>2.5</v>
      </c>
      <c r="I27">
        <f t="shared" si="7"/>
        <v>2.5</v>
      </c>
      <c r="J27">
        <f t="shared" si="7"/>
        <v>2.5</v>
      </c>
      <c r="K27">
        <f t="shared" si="7"/>
        <v>2.5</v>
      </c>
      <c r="L27">
        <f t="shared" si="7"/>
        <v>2.5</v>
      </c>
      <c r="M27">
        <f t="shared" si="7"/>
        <v>2.5</v>
      </c>
      <c r="N27">
        <f t="shared" si="7"/>
        <v>2.5</v>
      </c>
    </row>
    <row r="28" spans="1:14" x14ac:dyDescent="0.2">
      <c r="B28" t="s">
        <v>292</v>
      </c>
      <c r="C28">
        <f>IF('Lean ideas'!$H$15="no",0,0)</f>
        <v>0</v>
      </c>
      <c r="D28">
        <f>IF('Lean ideas'!$H$15="no",0,0)</f>
        <v>0</v>
      </c>
      <c r="E28">
        <f>IF('Lean ideas'!$H$15="no",0,0)</f>
        <v>0</v>
      </c>
      <c r="F28">
        <f>IF('Lean ideas'!$H$15="no",0,0)</f>
        <v>0</v>
      </c>
      <c r="G28">
        <f>IF('Lean ideas'!$H$15="no",0.5,0)</f>
        <v>0.5</v>
      </c>
      <c r="H28">
        <f>IF('Lean ideas'!$H$15="no",0,0)</f>
        <v>0</v>
      </c>
      <c r="I28">
        <f>IF('Lean ideas'!$H$15="no",0,0)</f>
        <v>0</v>
      </c>
      <c r="J28">
        <f>IF('Lean ideas'!$H$15="no",0,0)</f>
        <v>0</v>
      </c>
      <c r="K28">
        <f>IF('Lean ideas'!$H$15="no",0,0)</f>
        <v>0</v>
      </c>
      <c r="L28">
        <f>IF('Lean ideas'!$H$15="no",0,0)</f>
        <v>0</v>
      </c>
      <c r="M28">
        <f>IF('Lean ideas'!$H$15="no",0,0)</f>
        <v>0</v>
      </c>
      <c r="N28">
        <f>IF('Lean ideas'!$H$15="no",0,0)</f>
        <v>0</v>
      </c>
    </row>
    <row r="30" spans="1:14" x14ac:dyDescent="0.2">
      <c r="F30" t="s">
        <v>309</v>
      </c>
      <c r="I30" t="s">
        <v>310</v>
      </c>
      <c r="M30" t="s">
        <v>311</v>
      </c>
      <c r="N30" t="s">
        <v>310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F20"/>
  <sheetViews>
    <sheetView tabSelected="1" workbookViewId="0">
      <selection activeCell="E21" sqref="E21"/>
    </sheetView>
  </sheetViews>
  <sheetFormatPr defaultRowHeight="14.25" x14ac:dyDescent="0.2"/>
  <cols>
    <col min="2" max="2" width="18" customWidth="1"/>
    <col min="3" max="3" width="23.75" customWidth="1"/>
    <col min="4" max="4" width="19.875" customWidth="1"/>
    <col min="5" max="5" width="31" customWidth="1"/>
    <col min="6" max="6" width="32.5" customWidth="1"/>
  </cols>
  <sheetData>
    <row r="2" spans="1:6" ht="15" x14ac:dyDescent="0.25">
      <c r="B2" s="1" t="s">
        <v>163</v>
      </c>
    </row>
    <row r="4" spans="1:6" x14ac:dyDescent="0.2">
      <c r="A4" s="3" t="s">
        <v>164</v>
      </c>
      <c r="B4" s="3" t="s">
        <v>165</v>
      </c>
      <c r="C4" s="3" t="s">
        <v>166</v>
      </c>
      <c r="D4" s="3" t="s">
        <v>173</v>
      </c>
      <c r="E4" s="3" t="s">
        <v>185</v>
      </c>
      <c r="F4" s="5" t="s">
        <v>186</v>
      </c>
    </row>
    <row r="5" spans="1:6" x14ac:dyDescent="0.2">
      <c r="A5">
        <v>1</v>
      </c>
      <c r="B5" s="7" t="s">
        <v>42</v>
      </c>
      <c r="C5" s="21" t="s">
        <v>170</v>
      </c>
      <c r="D5" s="7" t="s">
        <v>174</v>
      </c>
      <c r="E5" s="21" t="s">
        <v>182</v>
      </c>
      <c r="F5" s="21" t="s">
        <v>299</v>
      </c>
    </row>
    <row r="6" spans="1:6" x14ac:dyDescent="0.2">
      <c r="A6">
        <v>2</v>
      </c>
      <c r="B6" s="7" t="s">
        <v>175</v>
      </c>
      <c r="E6" s="21" t="s">
        <v>180</v>
      </c>
      <c r="F6" s="21" t="s">
        <v>300</v>
      </c>
    </row>
    <row r="7" spans="1:6" x14ac:dyDescent="0.2">
      <c r="A7">
        <v>3</v>
      </c>
      <c r="C7" s="21" t="s">
        <v>176</v>
      </c>
      <c r="E7" s="21" t="s">
        <v>179</v>
      </c>
      <c r="F7" s="21" t="s">
        <v>301</v>
      </c>
    </row>
    <row r="8" spans="1:6" x14ac:dyDescent="0.2">
      <c r="A8">
        <v>4</v>
      </c>
      <c r="C8" s="21" t="s">
        <v>177</v>
      </c>
      <c r="E8" s="21" t="s">
        <v>362</v>
      </c>
      <c r="F8" s="21" t="s">
        <v>305</v>
      </c>
    </row>
    <row r="9" spans="1:6" x14ac:dyDescent="0.2">
      <c r="A9">
        <v>5</v>
      </c>
      <c r="C9" s="21" t="s">
        <v>294</v>
      </c>
      <c r="E9" s="21" t="s">
        <v>183</v>
      </c>
      <c r="F9" s="21" t="s">
        <v>359</v>
      </c>
    </row>
    <row r="10" spans="1:6" x14ac:dyDescent="0.2">
      <c r="A10">
        <v>6</v>
      </c>
      <c r="C10" t="s">
        <v>176</v>
      </c>
      <c r="E10" s="21" t="s">
        <v>360</v>
      </c>
      <c r="F10" s="21" t="s">
        <v>358</v>
      </c>
    </row>
    <row r="11" spans="1:6" x14ac:dyDescent="0.2">
      <c r="A11">
        <v>7</v>
      </c>
      <c r="C11" s="21" t="s">
        <v>171</v>
      </c>
      <c r="E11" s="21" t="s">
        <v>361</v>
      </c>
      <c r="F11" s="21" t="s">
        <v>302</v>
      </c>
    </row>
    <row r="12" spans="1:6" x14ac:dyDescent="0.2">
      <c r="A12">
        <v>8</v>
      </c>
      <c r="E12" s="21" t="s">
        <v>181</v>
      </c>
      <c r="F12" s="21" t="s">
        <v>306</v>
      </c>
    </row>
    <row r="13" spans="1:6" x14ac:dyDescent="0.2">
      <c r="A13">
        <v>9</v>
      </c>
      <c r="E13" s="21" t="s">
        <v>355</v>
      </c>
      <c r="F13" s="9" t="s">
        <v>304</v>
      </c>
    </row>
    <row r="14" spans="1:6" x14ac:dyDescent="0.2">
      <c r="A14">
        <v>10</v>
      </c>
      <c r="C14" s="21" t="s">
        <v>170</v>
      </c>
      <c r="E14" s="21" t="s">
        <v>172</v>
      </c>
      <c r="F14" s="21" t="s">
        <v>188</v>
      </c>
    </row>
    <row r="15" spans="1:6" x14ac:dyDescent="0.2">
      <c r="A15">
        <v>11</v>
      </c>
      <c r="C15" s="21" t="s">
        <v>287</v>
      </c>
      <c r="E15" s="21" t="s">
        <v>357</v>
      </c>
      <c r="F15" s="21" t="s">
        <v>187</v>
      </c>
    </row>
    <row r="16" spans="1:6" x14ac:dyDescent="0.2">
      <c r="A16">
        <v>12</v>
      </c>
      <c r="C16" t="s">
        <v>178</v>
      </c>
      <c r="E16" s="21" t="s">
        <v>356</v>
      </c>
      <c r="F16" s="21" t="s">
        <v>189</v>
      </c>
    </row>
    <row r="18" spans="2:6" x14ac:dyDescent="0.2">
      <c r="B18" s="7" t="s">
        <v>167</v>
      </c>
      <c r="E18" s="21"/>
      <c r="F18" s="9" t="s">
        <v>296</v>
      </c>
    </row>
    <row r="19" spans="2:6" x14ac:dyDescent="0.2">
      <c r="B19" t="s">
        <v>168</v>
      </c>
      <c r="F19" s="9" t="s">
        <v>297</v>
      </c>
    </row>
    <row r="20" spans="2:6" x14ac:dyDescent="0.2">
      <c r="B20" s="21" t="s">
        <v>169</v>
      </c>
      <c r="F20" t="s">
        <v>298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Drawings</vt:lpstr>
      <vt:lpstr>BOM</vt:lpstr>
      <vt:lpstr>Routings</vt:lpstr>
      <vt:lpstr>Processes</vt:lpstr>
      <vt:lpstr>Raw materials</vt:lpstr>
      <vt:lpstr>Lean ideas</vt:lpstr>
      <vt:lpstr>Inventory</vt:lpstr>
      <vt:lpstr>Costs</vt:lpstr>
      <vt:lpstr>Cumulative profit</vt:lpstr>
      <vt:lpstr>Problem list</vt:lpstr>
      <vt:lpstr>Capacity</vt:lpstr>
      <vt:lpstr>Problems table</vt:lpstr>
      <vt:lpstr>Problems</vt:lpstr>
    </vt:vector>
  </TitlesOfParts>
  <Company>UW-Stout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Lacksonen</dc:creator>
  <cp:lastModifiedBy>student</cp:lastModifiedBy>
  <dcterms:created xsi:type="dcterms:W3CDTF">2011-08-22T16:24:39Z</dcterms:created>
  <dcterms:modified xsi:type="dcterms:W3CDTF">2014-09-15T21:22:33Z</dcterms:modified>
</cp:coreProperties>
</file>